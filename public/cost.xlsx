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026"/>
  <workbookPr defaultThemeVersion="124226"/>
  <mc:AlternateContent xmlns:mc="http://schemas.openxmlformats.org/markup-compatibility/2006">
    <mc:Choice Requires="x15">
      <x15ac:absPath xmlns:x15ac="http://schemas.microsoft.com/office/spreadsheetml/2010/11/ac" url="C:\Users\Admin\Desktop\temp\보내기 대기\"/>
    </mc:Choice>
  </mc:AlternateContent>
  <xr:revisionPtr revIDLastSave="0" documentId="13_ncr:1_{05D04EB7-51C5-45B5-B0B8-FF18873980A9}" xr6:coauthVersionLast="47" xr6:coauthVersionMax="47" xr10:uidLastSave="{00000000-0000-0000-0000-000000000000}"/>
  <bookViews>
    <workbookView xWindow="28680" yWindow="-120" windowWidth="29040" windowHeight="17520" tabRatio="685" xr2:uid="{00000000-000D-0000-FFFF-FFFF00000000}"/>
  </bookViews>
  <sheets>
    <sheet name="241108_Q1 SKU" sheetId="13" r:id="rId1"/>
    <sheet name="기존 Q2 가격표" sheetId="12" r:id="rId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4" i="13" l="1"/>
  <c r="J4" i="13"/>
  <c r="N4" i="13"/>
  <c r="L38" i="12"/>
  <c r="M38" i="12" s="1"/>
  <c r="I38" i="12"/>
  <c r="H38" i="12" s="1"/>
  <c r="E38" i="12"/>
  <c r="L37" i="12"/>
  <c r="I37" i="12"/>
  <c r="G37" i="12"/>
  <c r="G38" i="12" s="1"/>
  <c r="E37" i="12"/>
  <c r="L36" i="12"/>
  <c r="M36" i="12" s="1"/>
  <c r="I36" i="12"/>
  <c r="H36" i="12" s="1"/>
  <c r="E36" i="12"/>
  <c r="L30" i="12"/>
  <c r="M30" i="12" s="1"/>
  <c r="I30" i="12"/>
  <c r="H30" i="12" s="1"/>
  <c r="E30" i="12"/>
  <c r="L29" i="12"/>
  <c r="M29" i="12" s="1"/>
  <c r="I29" i="12"/>
  <c r="G29" i="12"/>
  <c r="G30" i="12" s="1"/>
  <c r="E29" i="12"/>
  <c r="L28" i="12"/>
  <c r="M28" i="12" s="1"/>
  <c r="I28" i="12"/>
  <c r="H28" i="12"/>
  <c r="E28" i="12"/>
  <c r="L22" i="12"/>
  <c r="M22" i="12" s="1"/>
  <c r="I22" i="12"/>
  <c r="H22" i="12" s="1"/>
  <c r="E22" i="12"/>
  <c r="L21" i="12"/>
  <c r="M21" i="12" s="1"/>
  <c r="I21" i="12"/>
  <c r="G21" i="12"/>
  <c r="G22" i="12" s="1"/>
  <c r="E21" i="12"/>
  <c r="L20" i="12"/>
  <c r="M20" i="12" s="1"/>
  <c r="I20" i="12"/>
  <c r="E20" i="12"/>
  <c r="L14" i="12"/>
  <c r="M14" i="12" s="1"/>
  <c r="I14" i="12"/>
  <c r="H14" i="12" s="1"/>
  <c r="E14" i="12"/>
  <c r="L13" i="12"/>
  <c r="M13" i="12" s="1"/>
  <c r="I13" i="12"/>
  <c r="H13" i="12"/>
  <c r="G13" i="12"/>
  <c r="G14" i="12" s="1"/>
  <c r="E13" i="12"/>
  <c r="L12" i="12"/>
  <c r="M12" i="12" s="1"/>
  <c r="I12" i="12"/>
  <c r="H12" i="12" s="1"/>
  <c r="E12" i="12"/>
  <c r="M37" i="12" l="1"/>
  <c r="L43" i="12"/>
  <c r="O4" i="13"/>
  <c r="P4" i="13" s="1"/>
  <c r="K4" i="13"/>
  <c r="E39" i="12"/>
  <c r="J37" i="12"/>
  <c r="N37" i="12"/>
  <c r="O37" i="12" s="1"/>
  <c r="E31" i="12"/>
  <c r="I31" i="12"/>
  <c r="I23" i="12"/>
  <c r="M39" i="12"/>
  <c r="J38" i="12"/>
  <c r="N38" i="12" s="1"/>
  <c r="O38" i="12" s="1"/>
  <c r="H37" i="12"/>
  <c r="J36" i="12"/>
  <c r="I39" i="12"/>
  <c r="J13" i="12"/>
  <c r="N13" i="12" s="1"/>
  <c r="O13" i="12" s="1"/>
  <c r="J21" i="12"/>
  <c r="N21" i="12" s="1"/>
  <c r="O21" i="12" s="1"/>
  <c r="E15" i="12"/>
  <c r="E23" i="12"/>
  <c r="H20" i="12"/>
  <c r="J22" i="12"/>
  <c r="I15" i="12"/>
  <c r="N22" i="12"/>
  <c r="O22" i="12" s="1"/>
  <c r="H21" i="12"/>
  <c r="J29" i="12"/>
  <c r="N29" i="12" s="1"/>
  <c r="O29" i="12" s="1"/>
  <c r="J20" i="12"/>
  <c r="N20" i="12" s="1"/>
  <c r="M31" i="12"/>
  <c r="J30" i="12"/>
  <c r="N30" i="12" s="1"/>
  <c r="O30" i="12" s="1"/>
  <c r="H29" i="12"/>
  <c r="J28" i="12"/>
  <c r="M23" i="12"/>
  <c r="M15" i="12"/>
  <c r="J14" i="12"/>
  <c r="N14" i="12" s="1"/>
  <c r="O14" i="12" s="1"/>
  <c r="J12" i="12"/>
  <c r="L6" i="12"/>
  <c r="M6" i="12" s="1"/>
  <c r="I6" i="12"/>
  <c r="H6" i="12" s="1"/>
  <c r="E6" i="12"/>
  <c r="J39" i="12" l="1"/>
  <c r="J15" i="12"/>
  <c r="N36" i="12"/>
  <c r="J23" i="12"/>
  <c r="J31" i="12"/>
  <c r="N28" i="12"/>
  <c r="O20" i="12"/>
  <c r="N23" i="12"/>
  <c r="O23" i="12" s="1"/>
  <c r="N12" i="12"/>
  <c r="L5" i="12"/>
  <c r="L4" i="12"/>
  <c r="O36" i="12" l="1"/>
  <c r="N39" i="12"/>
  <c r="O39" i="12" s="1"/>
  <c r="N31" i="12"/>
  <c r="O31" i="12" s="1"/>
  <c r="O28" i="12"/>
  <c r="O12" i="12"/>
  <c r="N15" i="12"/>
  <c r="O15" i="12" s="1"/>
  <c r="I5" i="12"/>
  <c r="H5" i="12" s="1"/>
  <c r="G5" i="12"/>
  <c r="E5" i="12"/>
  <c r="I4" i="12"/>
  <c r="H4" i="12" s="1"/>
  <c r="E4" i="12"/>
  <c r="G6" i="12" l="1"/>
  <c r="J6" i="12" s="1"/>
  <c r="N6" i="12" s="1"/>
  <c r="O6" i="12" s="1"/>
  <c r="J5" i="12"/>
  <c r="J4" i="12"/>
  <c r="E7" i="12"/>
  <c r="M5" i="12"/>
  <c r="M4" i="12"/>
  <c r="I7" i="12"/>
  <c r="J7" i="12" l="1"/>
  <c r="N5" i="12"/>
  <c r="O5" i="12" s="1"/>
  <c r="N4" i="12"/>
  <c r="O4" i="12" s="1"/>
  <c r="M7" i="12"/>
  <c r="N7" i="12" l="1"/>
  <c r="O7" i="12" s="1"/>
</calcChain>
</file>

<file path=xl/sharedStrings.xml><?xml version="1.0" encoding="utf-8"?>
<sst xmlns="http://schemas.openxmlformats.org/spreadsheetml/2006/main" count="170" uniqueCount="61">
  <si>
    <t>프로젝트 명</t>
  </si>
  <si>
    <t>ORAN :</t>
  </si>
  <si>
    <r>
      <t>S</t>
    </r>
    <r>
      <rPr>
        <sz val="11"/>
        <color theme="1"/>
        <rFont val="맑은 고딕"/>
        <family val="2"/>
        <charset val="129"/>
        <scheme val="minor"/>
      </rPr>
      <t>PF</t>
    </r>
    <phoneticPr fontId="11" type="noConversion"/>
  </si>
  <si>
    <t>가상화사업부 기준환율 적용</t>
  </si>
  <si>
    <t>Part#</t>
  </si>
  <si>
    <t>수량</t>
  </si>
  <si>
    <t>Term</t>
    <phoneticPr fontId="14" type="noConversion"/>
  </si>
  <si>
    <t>LP(1년 단가)</t>
    <phoneticPr fontId="14" type="noConversion"/>
  </si>
  <si>
    <t>LP 합계</t>
  </si>
  <si>
    <t>DC</t>
  </si>
  <si>
    <t>E/R</t>
  </si>
  <si>
    <t>Net Cost 단가</t>
    <phoneticPr fontId="14" type="noConversion"/>
  </si>
  <si>
    <t>Net Cost</t>
  </si>
  <si>
    <t>소비자단가</t>
  </si>
  <si>
    <t>공급가</t>
  </si>
  <si>
    <t>마진</t>
  </si>
  <si>
    <t>마진율</t>
  </si>
  <si>
    <t>vSAN Add-on</t>
    <phoneticPr fontId="14" type="noConversion"/>
  </si>
  <si>
    <t>vSphere Essential Plus Term</t>
    <phoneticPr fontId="14" type="noConversion"/>
  </si>
  <si>
    <t>LP</t>
  </si>
  <si>
    <t>1Y</t>
    <phoneticPr fontId="14" type="noConversion"/>
  </si>
  <si>
    <t>VSP-ESPL-TD-TL-1P-C</t>
  </si>
  <si>
    <t>VMware vSphere Essentials Plus - 1-Year Prepaid Commit - Per 96 Core Pack</t>
  </si>
  <si>
    <t>VMware vSphere Essentials Plus includes vSphere Essentials Plus and vCenter Essentials. VMware vSphere Essentials Plus Subscription includes Production Support and is licensed Per 96 Core Pack with a minimum of 16 Cores per CPU required and 3 hosts maximum.</t>
  </si>
  <si>
    <t>3Y</t>
    <phoneticPr fontId="14" type="noConversion"/>
  </si>
  <si>
    <t>VSP-ESPL-TD-TL-3P-C</t>
  </si>
  <si>
    <t>VMware vSphere Essentials Plus - 3-Year Prepaid Commit - Per 96 Core Pack</t>
  </si>
  <si>
    <t>5Y</t>
    <phoneticPr fontId="14" type="noConversion"/>
  </si>
  <si>
    <t>VSP-ESPL-TD-TL-5P-C</t>
  </si>
  <si>
    <t>VMware vSphere Essentials Plus - 5-Year Prepaid Commit - Per 96 Core Pack</t>
  </si>
  <si>
    <t>vSphere Standard Term</t>
    <phoneticPr fontId="14" type="noConversion"/>
  </si>
  <si>
    <t>VS8-STD-SK-TLSS-1Y-C</t>
  </si>
  <si>
    <t>VMware vSphere Standard - 1-Year Prepaid Commit - Per Core</t>
  </si>
  <si>
    <t>VMware vSphere Standard includes vSphere Standard and vCenter Standard. VMware vSphere Standard includes Production Support and is licensed Per Core with a minimum of 16 Cores per CPU required.</t>
  </si>
  <si>
    <t>VS8-STD-SK-TLSS-3Y-C</t>
  </si>
  <si>
    <t>VMware vSphere Standard - 3-Year Prepaid Commit - Per Core</t>
  </si>
  <si>
    <t>VS8-STD-SK-TLSS-5Y-C</t>
  </si>
  <si>
    <t>VMware vSphere Standard - 5-Year Prepaid Commit - Per Core</t>
  </si>
  <si>
    <t>vSphere Foundation Term</t>
    <phoneticPr fontId="14" type="noConversion"/>
  </si>
  <si>
    <t>VSP-PL-TD-TL-1P-C</t>
  </si>
  <si>
    <t>VMware vSphere Foundation - 1-Year Prepaid Commit - Per Core</t>
  </si>
  <si>
    <t>VMware vSphere Foundation includes vSphere Enterprise Plus, vCenter Standard, Tanzu Kubernetes Grid, and Aria Suite Standard. VMware vSphere Foundation Subscription includes Production Support and is licensed Per Core with a minimum of 16 Cores per CPU required.</t>
  </si>
  <si>
    <t>VSP-PL-TD-TL-3P-C</t>
  </si>
  <si>
    <t>VMware vSphere Foundation - 3-Year Prepaid Commit - Per Core</t>
  </si>
  <si>
    <t>VSP-PL-TD-TL-5P-C</t>
  </si>
  <si>
    <t>VMware vSphere Foundation - 5-Year Prepaid Commit - Per Core</t>
  </si>
  <si>
    <t>VCF Term</t>
    <phoneticPr fontId="14" type="noConversion"/>
  </si>
  <si>
    <t>VCF-TD-TL-1P-C</t>
  </si>
  <si>
    <t>VMware Cloud Foundation 5 - 1-Year Prepaid Commit - Per Core</t>
  </si>
  <si>
    <t>VMware Cloud Foundation is a subscription that includes vSphere Enterprise Plus, vSAN Enterprise, NSX Ent Plus (Networking Only), Aria Suite Term Enterprise, Aria Ops for Networks ENT, HCX Enterprise, SDDC Manager, Tanzu Kubernetes Grid, and vCenter Server Standard. VMware Cloud Foundation includes Select Support and is licensed Per Core with a minimum of 16 Cores per CPU required.</t>
  </si>
  <si>
    <t>VCF-TD-TL-3P-C</t>
  </si>
  <si>
    <t>VMware Cloud Foundation 5 - 3-Year Prepaid Commit - Per Core</t>
  </si>
  <si>
    <t>VCF-TD-TL-5P-C</t>
  </si>
  <si>
    <t>VMware Cloud Foundation 5 - 5-Year Prepaid Commit - Per Core</t>
  </si>
  <si>
    <t>VSP-PL-TD-VSAN-TL-1P-C</t>
  </si>
  <si>
    <t>VMware vSAN 8 - 1-Year Prepaid Commit Add-on for VMware vSphere Foundation and VMware Cloud Foundation - Per TiB</t>
  </si>
  <si>
    <t>VMware vSAN is an add-on subscription to VMware vSphere Foundation and VMware Cloud Foundation. VMware vSAN includes Production Support and is licensed Per TiB with a minimum of 8 TiBs per CPU required.</t>
  </si>
  <si>
    <t>VSP-PL-TD-VSAN-TL-3P-C</t>
  </si>
  <si>
    <t>VMware vSAN 8 - 3-Year Prepaid Commit Add-on for VMware vSphere Foundation and VMware Cloud Foundation - Per TiB</t>
  </si>
  <si>
    <t>VSP-PL-TD-VSAN-TL-5P-C</t>
  </si>
  <si>
    <t>VMware vSAN 8 - 5-Year Prepaid Commit Add-on for VMware vSphere Foundation and VMware Cloud Foundation - Per TiB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</si>
</sst>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3">
    <numFmt numFmtId="42" formatCode="_-&quot;₩&quot;* #,##0_-;\-&quot;₩&quot;* #,##0_-;_-&quot;₩&quot;* &quot;-&quot;_-;_-@_-"/>
    <numFmt numFmtId="41" formatCode="_-* #,##0_-;\-* #,##0_-;_-* &quot;-&quot;_-;_-@_-"/>
    <numFmt numFmtId="44" formatCode="_-&quot;₩&quot;* #,##0.00_-;\-&quot;₩&quot;* #,##0.00_-;_-&quot;₩&quot;* &quot;-&quot;??_-;_-@_-"/>
    <numFmt numFmtId="43" formatCode="_-* #,##0.00_-;\-* #,##0.00_-;_-* &quot;-&quot;??_-;_-@_-"/>
    <numFmt numFmtId="176" formatCode="&quot;$&quot;#,##0_);[Red]\(&quot;$&quot;#,##0\)"/>
    <numFmt numFmtId="177" formatCode="_(* #,##0_);_(* \(#,##0\);_(* &quot;-&quot;_);_(@_)"/>
    <numFmt numFmtId="178" formatCode="_(&quot;$&quot;* #,##0.00_);_(&quot;$&quot;* \(#,##0.00\);_(&quot;$&quot;* &quot;-&quot;??_);_(@_)"/>
    <numFmt numFmtId="179" formatCode="_(* #,##0.00_);_(* \(#,##0.00\);_(* &quot;-&quot;??_);_(@_)"/>
    <numFmt numFmtId="180" formatCode="\$#,##0.00"/>
    <numFmt numFmtId="181" formatCode="0_);[Red]\(0\)"/>
    <numFmt numFmtId="182" formatCode="_-* #,##0\ &quot;DM&quot;_-;\-* #,##0\ &quot;DM&quot;_-;_-* &quot;-&quot;\ &quot;DM&quot;_-;_-@_-"/>
    <numFmt numFmtId="183" formatCode="_-* #,##0\ _D_M_-;\-* #,##0\ _D_M_-;_-* &quot;-&quot;\ _D_M_-;_-@_-"/>
    <numFmt numFmtId="184" formatCode="_-* #,##0.00\ &quot;DM&quot;_-;\-* #,##0.00\ &quot;DM&quot;_-;_-* &quot;-&quot;??\ &quot;DM&quot;_-;_-@_-"/>
    <numFmt numFmtId="185" formatCode="_-* #,##0.00\ _D_M_-;\-* #,##0.00\ _D_M_-;_-* &quot;-&quot;??\ _D_M_-;_-@_-"/>
    <numFmt numFmtId="186" formatCode="0.00\K"/>
    <numFmt numFmtId="187" formatCode="&quot;$&quot;#,##0.0_);\(&quot;$&quot;#,##0.0\)"/>
    <numFmt numFmtId="188" formatCode="0.0%_);\(0.0%\)"/>
    <numFmt numFmtId="189" formatCode="&quot;$&quot;#,##0.00000_);\(&quot;$&quot;#,##0.00000\)"/>
    <numFmt numFmtId="190" formatCode="_ 0.0%_ ;[Red]\(0.0%\)_ ;_ * &quot;-&quot;??_ ;_ @_ "/>
    <numFmt numFmtId="191" formatCode="_-&quot;£&quot;* #,##0.00_-;\-&quot;£&quot;* #,##0.00_-;_-&quot;£&quot;* &quot;-&quot;??_-;_-@_-"/>
    <numFmt numFmtId="192" formatCode="0.0%"/>
    <numFmt numFmtId="193" formatCode="_-[$₩-412]* #,##0_-;\-[$₩-412]* #,##0_-;_-[$₩-412]* &quot;-&quot;??_-;_-@_-"/>
    <numFmt numFmtId="194" formatCode="_(* #,##0_);_(* \(#,##0\);_(* &quot;-&quot;??_);_(@_)"/>
  </numFmts>
  <fonts count="97">
    <font>
      <sz val="11"/>
      <color theme="1"/>
      <name val="맑은 고딕"/>
      <family val="3"/>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8"/>
      <name val="맑은 고딕"/>
      <family val="3"/>
      <charset val="129"/>
    </font>
    <font>
      <sz val="11"/>
      <color indexed="8"/>
      <name val="맑은 고딕"/>
      <family val="3"/>
      <charset val="129"/>
    </font>
    <font>
      <sz val="11"/>
      <color theme="1"/>
      <name val="맑은 고딕"/>
      <family val="3"/>
      <charset val="129"/>
      <scheme val="minor"/>
    </font>
    <font>
      <sz val="8"/>
      <name val="맑은 고딕"/>
      <family val="3"/>
      <charset val="129"/>
      <scheme val="minor"/>
    </font>
    <font>
      <sz val="10"/>
      <name val="Tahoma"/>
      <family val="2"/>
    </font>
    <font>
      <sz val="10"/>
      <color indexed="8"/>
      <name val="Arial"/>
      <family val="2"/>
    </font>
    <font>
      <sz val="10"/>
      <name val="Arial"/>
      <family val="2"/>
    </font>
    <font>
      <sz val="11"/>
      <name val="돋움"/>
      <family val="3"/>
      <charset val="129"/>
    </font>
    <font>
      <u/>
      <sz val="10"/>
      <color indexed="12"/>
      <name val="Arial"/>
      <family val="2"/>
    </font>
    <font>
      <sz val="10"/>
      <name val="Helv"/>
      <family val="2"/>
    </font>
    <font>
      <sz val="8"/>
      <name val="Arial"/>
      <family val="2"/>
    </font>
    <font>
      <sz val="10"/>
      <name val="Geneva"/>
      <family val="2"/>
    </font>
    <font>
      <sz val="12"/>
      <name val="Times New Roman"/>
      <family val="1"/>
    </font>
    <font>
      <sz val="10"/>
      <color indexed="8"/>
      <name val="MS Sans Serif"/>
      <family val="2"/>
    </font>
    <font>
      <sz val="11"/>
      <name val="ＭＳ Ｐゴシック"/>
      <family val="2"/>
      <charset val="128"/>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sz val="11"/>
      <color indexed="62"/>
      <name val="Calibri"/>
      <family val="2"/>
    </font>
    <font>
      <sz val="11"/>
      <color indexed="52"/>
      <name val="Calibri"/>
      <family val="2"/>
    </font>
    <font>
      <sz val="11"/>
      <color indexed="60"/>
      <name val="Calibri"/>
      <family val="2"/>
    </font>
    <font>
      <b/>
      <sz val="11"/>
      <color indexed="63"/>
      <name val="Calibri"/>
      <family val="2"/>
    </font>
    <font>
      <b/>
      <sz val="18"/>
      <color indexed="56"/>
      <name val="Cambria"/>
      <family val="1"/>
    </font>
    <font>
      <b/>
      <sz val="11"/>
      <color indexed="8"/>
      <name val="Calibri"/>
      <family val="2"/>
    </font>
    <font>
      <sz val="11"/>
      <color indexed="10"/>
      <name val="Calibri"/>
      <family val="2"/>
    </font>
    <font>
      <sz val="12"/>
      <name val="宋体"/>
      <family val="3"/>
      <charset val="129"/>
    </font>
    <font>
      <u/>
      <sz val="10"/>
      <color indexed="12"/>
      <name val="MS Sans Serif"/>
      <family val="2"/>
    </font>
    <font>
      <u/>
      <sz val="10"/>
      <color indexed="14"/>
      <name val="MS Sans Serif"/>
      <family val="2"/>
    </font>
    <font>
      <sz val="10"/>
      <name val="MS Sans Serif"/>
      <family val="2"/>
    </font>
    <font>
      <sz val="11"/>
      <color indexed="8"/>
      <name val="Arial"/>
      <family val="2"/>
    </font>
    <font>
      <sz val="11"/>
      <color indexed="9"/>
      <name val="Arial"/>
      <family val="2"/>
    </font>
    <font>
      <sz val="11"/>
      <color indexed="20"/>
      <name val="Arial"/>
      <family val="2"/>
    </font>
    <font>
      <b/>
      <sz val="11"/>
      <color indexed="52"/>
      <name val="Arial"/>
      <family val="2"/>
    </font>
    <font>
      <b/>
      <sz val="11"/>
      <color indexed="9"/>
      <name val="Arial"/>
      <family val="2"/>
    </font>
    <font>
      <i/>
      <sz val="11"/>
      <color indexed="23"/>
      <name val="Arial"/>
      <family val="2"/>
    </font>
    <font>
      <sz val="11"/>
      <color indexed="17"/>
      <name val="Arial"/>
      <family val="2"/>
    </font>
    <font>
      <b/>
      <sz val="15"/>
      <color indexed="56"/>
      <name val="Arial"/>
      <family val="2"/>
    </font>
    <font>
      <b/>
      <sz val="13"/>
      <color indexed="56"/>
      <name val="Arial"/>
      <family val="2"/>
    </font>
    <font>
      <b/>
      <sz val="11"/>
      <color indexed="56"/>
      <name val="Arial"/>
      <family val="2"/>
    </font>
    <font>
      <sz val="11"/>
      <color indexed="62"/>
      <name val="Arial"/>
      <family val="2"/>
    </font>
    <font>
      <sz val="11"/>
      <color indexed="52"/>
      <name val="Arial"/>
      <family val="2"/>
    </font>
    <font>
      <sz val="11"/>
      <color indexed="60"/>
      <name val="Arial"/>
      <family val="2"/>
    </font>
    <font>
      <b/>
      <sz val="11"/>
      <color indexed="63"/>
      <name val="Arial"/>
      <family val="2"/>
    </font>
    <font>
      <b/>
      <sz val="18"/>
      <color indexed="56"/>
      <name val="Arial"/>
      <family val="2"/>
    </font>
    <font>
      <b/>
      <sz val="11"/>
      <color indexed="8"/>
      <name val="Arial"/>
      <family val="2"/>
    </font>
    <font>
      <sz val="11"/>
      <color indexed="10"/>
      <name val="Arial"/>
      <family val="2"/>
    </font>
    <font>
      <sz val="11"/>
      <color theme="1"/>
      <name val="Calibri"/>
      <family val="2"/>
    </font>
    <font>
      <sz val="11"/>
      <color theme="0"/>
      <name val="Calibri"/>
      <family val="2"/>
    </font>
    <font>
      <sz val="11"/>
      <color rgb="FFFF0000"/>
      <name val="Calibri"/>
      <family val="2"/>
    </font>
    <font>
      <b/>
      <sz val="11"/>
      <color rgb="FFFA7D00"/>
      <name val="Calibri"/>
      <family val="2"/>
    </font>
    <font>
      <sz val="11"/>
      <color rgb="FF9C0006"/>
      <name val="Calibri"/>
      <family val="2"/>
    </font>
    <font>
      <sz val="11"/>
      <color rgb="FF9C6500"/>
      <name val="Calibri"/>
      <family val="2"/>
    </font>
    <font>
      <i/>
      <sz val="11"/>
      <color rgb="FF7F7F7F"/>
      <name val="Calibri"/>
      <family val="2"/>
    </font>
    <font>
      <b/>
      <sz val="11"/>
      <color theme="0"/>
      <name val="Calibri"/>
      <family val="2"/>
    </font>
    <font>
      <sz val="11"/>
      <color rgb="FFFA7D00"/>
      <name val="Calibri"/>
      <family val="2"/>
    </font>
    <font>
      <b/>
      <sz val="11"/>
      <color theme="1"/>
      <name val="Calibri"/>
      <family val="2"/>
    </font>
    <font>
      <sz val="11"/>
      <color rgb="FF3F3F76"/>
      <name val="Calibri"/>
      <family val="2"/>
    </font>
    <font>
      <b/>
      <sz val="15"/>
      <color theme="3"/>
      <name val="Calibri"/>
      <family val="2"/>
    </font>
    <font>
      <b/>
      <sz val="13"/>
      <color theme="3"/>
      <name val="Calibri"/>
      <family val="2"/>
    </font>
    <font>
      <b/>
      <sz val="11"/>
      <color theme="3"/>
      <name val="Calibri"/>
      <family val="2"/>
    </font>
    <font>
      <b/>
      <sz val="18"/>
      <color theme="3"/>
      <name val="Cambria"/>
      <family val="1"/>
    </font>
    <font>
      <sz val="11"/>
      <color rgb="FF006100"/>
      <name val="Calibri"/>
      <family val="2"/>
    </font>
    <font>
      <b/>
      <sz val="11"/>
      <color rgb="FF3F3F3F"/>
      <name val="Calibri"/>
      <family val="2"/>
    </font>
    <font>
      <u/>
      <sz val="11"/>
      <color theme="10"/>
      <name val="Calibri"/>
      <family val="2"/>
    </font>
    <font>
      <sz val="9"/>
      <color theme="1"/>
      <name val="맑은 고딕"/>
      <family val="3"/>
      <charset val="129"/>
      <scheme val="minor"/>
    </font>
    <font>
      <sz val="10"/>
      <name val="돋움"/>
      <family val="3"/>
      <charset val="129"/>
    </font>
    <font>
      <sz val="12"/>
      <color theme="1"/>
      <name val="맑은 고딕"/>
      <family val="3"/>
      <charset val="129"/>
      <scheme val="minor"/>
    </font>
    <font>
      <u/>
      <sz val="12"/>
      <color theme="11"/>
      <name val="맑은 고딕"/>
      <family val="3"/>
      <charset val="129"/>
      <scheme val="minor"/>
    </font>
    <font>
      <u/>
      <sz val="12"/>
      <color theme="10"/>
      <name val="맑은 고딕"/>
      <family val="3"/>
      <charset val="129"/>
      <scheme val="minor"/>
    </font>
    <font>
      <b/>
      <sz val="11"/>
      <name val="맑은 고딕"/>
      <family val="3"/>
      <charset val="129"/>
    </font>
    <font>
      <sz val="11"/>
      <color indexed="8"/>
      <name val="Trebuchet MS"/>
      <family val="2"/>
    </font>
    <font>
      <sz val="11"/>
      <color rgb="FFFF0000"/>
      <name val="맑은 고딕"/>
      <family val="3"/>
      <charset val="129"/>
      <scheme val="minor"/>
    </font>
    <font>
      <b/>
      <sz val="11"/>
      <color theme="1"/>
      <name val="맑은 고딕"/>
      <family val="3"/>
      <charset val="129"/>
      <scheme val="minor"/>
    </font>
    <font>
      <sz val="11"/>
      <color theme="1"/>
      <name val="맑은 고딕"/>
      <family val="2"/>
      <scheme val="minor"/>
    </font>
    <font>
      <sz val="10"/>
      <name val="Helv"/>
    </font>
    <font>
      <sz val="10"/>
      <name val="Helv"/>
      <charset val="204"/>
    </font>
    <font>
      <b/>
      <sz val="12"/>
      <color theme="1"/>
      <name val="맑은 고딕"/>
      <family val="3"/>
      <charset val="129"/>
      <scheme val="minor"/>
    </font>
    <font>
      <b/>
      <sz val="11"/>
      <name val="Calibri"/>
      <family val="2"/>
    </font>
    <font>
      <sz val="8"/>
      <color indexed="8"/>
      <name val="Arial"/>
      <family val="2"/>
    </font>
  </fonts>
  <fills count="60">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64"/>
      </patternFill>
    </fill>
    <fill>
      <patternFill patternType="solid">
        <fgColor indexed="26"/>
        <bgColor indexed="64"/>
      </patternFill>
    </fill>
    <fill>
      <patternFill patternType="solid">
        <fgColor indexed="43"/>
      </patternFill>
    </fill>
    <fill>
      <patternFill patternType="solid">
        <fgColor indexed="26"/>
      </patternFill>
    </fill>
    <fill>
      <patternFill patternType="solid">
        <fgColor indexed="40"/>
      </patternFill>
    </fill>
    <fill>
      <patternFill patternType="solid">
        <fgColor theme="3" tint="0.79998168889431442"/>
        <bgColor indexed="64"/>
      </patternFill>
    </fill>
    <fill>
      <patternFill patternType="solid">
        <fgColor rgb="FFFFFF00"/>
        <bgColor indexed="64"/>
      </patternFill>
    </fill>
  </fills>
  <borders count="23">
    <border>
      <left/>
      <right/>
      <top/>
      <bottom/>
      <diagonal/>
    </border>
    <border>
      <left style="thin">
        <color indexed="64"/>
      </left>
      <right style="thin">
        <color indexed="64"/>
      </right>
      <top style="thin">
        <color indexed="64"/>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diagonalUp="1" diagonalDown="1">
      <left/>
      <right/>
      <top/>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style="thin">
        <color indexed="48"/>
      </left>
      <right style="thin">
        <color indexed="48"/>
      </right>
      <top style="thin">
        <color indexed="48"/>
      </top>
      <bottom style="thin">
        <color indexed="48"/>
      </bottom>
      <diagonal/>
    </border>
    <border>
      <left/>
      <right/>
      <top style="thin">
        <color indexed="62"/>
      </top>
      <bottom style="double">
        <color indexed="62"/>
      </bottom>
      <diagonal/>
    </border>
    <border>
      <left style="thin">
        <color indexed="64"/>
      </left>
      <right style="medium">
        <color indexed="64"/>
      </right>
      <top style="thin">
        <color indexed="64"/>
      </top>
      <bottom style="thin">
        <color indexed="64"/>
      </bottom>
      <diagonal/>
    </border>
  </borders>
  <cellStyleXfs count="3026">
    <xf numFmtId="0" fontId="0" fillId="0" borderId="0">
      <alignment vertical="center"/>
    </xf>
    <xf numFmtId="9" fontId="12" fillId="0" borderId="0" applyFont="0" applyFill="0" applyBorder="0" applyAlignment="0" applyProtection="0">
      <alignment vertical="center"/>
    </xf>
    <xf numFmtId="0" fontId="13" fillId="0" borderId="0">
      <alignment vertical="center"/>
    </xf>
    <xf numFmtId="0" fontId="13" fillId="0" borderId="0">
      <alignment vertical="center"/>
    </xf>
    <xf numFmtId="178" fontId="15" fillId="0" borderId="0" applyFont="0" applyFill="0" applyBorder="0" applyAlignment="0" applyProtection="0"/>
    <xf numFmtId="0" fontId="20" fillId="0" borderId="0"/>
    <xf numFmtId="0" fontId="20" fillId="0" borderId="0"/>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20" fillId="0" borderId="0"/>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20" fillId="0" borderId="0"/>
    <xf numFmtId="0" fontId="22"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20" fillId="0" borderId="0"/>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17" fillId="0" borderId="11" quotePrefix="1">
      <alignment horizontal="justify" vertical="justify" textRotation="127" wrapText="1" justifyLastLine="1"/>
      <protection hidden="1"/>
    </xf>
    <xf numFmtId="0" fontId="23" fillId="0" borderId="0"/>
    <xf numFmtId="0" fontId="26" fillId="33" borderId="0" applyNumberFormat="0" applyBorder="0" applyAlignment="0" applyProtection="0"/>
    <xf numFmtId="0" fontId="47" fillId="33" borderId="0" applyNumberFormat="0" applyBorder="0" applyAlignment="0" applyProtection="0"/>
    <xf numFmtId="0" fontId="47" fillId="33" borderId="0" applyNumberFormat="0" applyBorder="0" applyAlignment="0" applyProtection="0"/>
    <xf numFmtId="0" fontId="47" fillId="33" borderId="0" applyNumberFormat="0" applyBorder="0" applyAlignment="0" applyProtection="0"/>
    <xf numFmtId="0" fontId="47" fillId="33" borderId="0" applyNumberFormat="0" applyBorder="0" applyAlignment="0" applyProtection="0"/>
    <xf numFmtId="0" fontId="26" fillId="34" borderId="0" applyNumberFormat="0" applyBorder="0" applyAlignment="0" applyProtection="0"/>
    <xf numFmtId="0" fontId="47" fillId="34" borderId="0" applyNumberFormat="0" applyBorder="0" applyAlignment="0" applyProtection="0"/>
    <xf numFmtId="0" fontId="47" fillId="34" borderId="0" applyNumberFormat="0" applyBorder="0" applyAlignment="0" applyProtection="0"/>
    <xf numFmtId="0" fontId="47" fillId="34" borderId="0" applyNumberFormat="0" applyBorder="0" applyAlignment="0" applyProtection="0"/>
    <xf numFmtId="0" fontId="47" fillId="34" borderId="0" applyNumberFormat="0" applyBorder="0" applyAlignment="0" applyProtection="0"/>
    <xf numFmtId="0" fontId="26" fillId="35" borderId="0" applyNumberFormat="0" applyBorder="0" applyAlignment="0" applyProtection="0"/>
    <xf numFmtId="0" fontId="47" fillId="35" borderId="0" applyNumberFormat="0" applyBorder="0" applyAlignment="0" applyProtection="0"/>
    <xf numFmtId="0" fontId="47" fillId="35" borderId="0" applyNumberFormat="0" applyBorder="0" applyAlignment="0" applyProtection="0"/>
    <xf numFmtId="0" fontId="47" fillId="35" borderId="0" applyNumberFormat="0" applyBorder="0" applyAlignment="0" applyProtection="0"/>
    <xf numFmtId="0" fontId="47" fillId="35" borderId="0" applyNumberFormat="0" applyBorder="0" applyAlignment="0" applyProtection="0"/>
    <xf numFmtId="0" fontId="26" fillId="36" borderId="0" applyNumberFormat="0" applyBorder="0" applyAlignment="0" applyProtection="0"/>
    <xf numFmtId="0" fontId="47" fillId="36" borderId="0" applyNumberFormat="0" applyBorder="0" applyAlignment="0" applyProtection="0"/>
    <xf numFmtId="0" fontId="47" fillId="36" borderId="0" applyNumberFormat="0" applyBorder="0" applyAlignment="0" applyProtection="0"/>
    <xf numFmtId="0" fontId="47" fillId="36" borderId="0" applyNumberFormat="0" applyBorder="0" applyAlignment="0" applyProtection="0"/>
    <xf numFmtId="0" fontId="47" fillId="36" borderId="0" applyNumberFormat="0" applyBorder="0" applyAlignment="0" applyProtection="0"/>
    <xf numFmtId="0" fontId="26" fillId="37" borderId="0" applyNumberFormat="0" applyBorder="0" applyAlignment="0" applyProtection="0"/>
    <xf numFmtId="0" fontId="47" fillId="37" borderId="0" applyNumberFormat="0" applyBorder="0" applyAlignment="0" applyProtection="0"/>
    <xf numFmtId="0" fontId="47" fillId="37" borderId="0" applyNumberFormat="0" applyBorder="0" applyAlignment="0" applyProtection="0"/>
    <xf numFmtId="0" fontId="47" fillId="37" borderId="0" applyNumberFormat="0" applyBorder="0" applyAlignment="0" applyProtection="0"/>
    <xf numFmtId="0" fontId="47" fillId="37" borderId="0" applyNumberFormat="0" applyBorder="0" applyAlignment="0" applyProtection="0"/>
    <xf numFmtId="0" fontId="26" fillId="38" borderId="0" applyNumberFormat="0" applyBorder="0" applyAlignment="0" applyProtection="0"/>
    <xf numFmtId="0" fontId="47" fillId="38" borderId="0" applyNumberFormat="0" applyBorder="0" applyAlignment="0" applyProtection="0"/>
    <xf numFmtId="0" fontId="47" fillId="38" borderId="0" applyNumberFormat="0" applyBorder="0" applyAlignment="0" applyProtection="0"/>
    <xf numFmtId="0" fontId="47" fillId="38" borderId="0" applyNumberFormat="0" applyBorder="0" applyAlignment="0" applyProtection="0"/>
    <xf numFmtId="0" fontId="47" fillId="38" borderId="0" applyNumberFormat="0" applyBorder="0" applyAlignment="0" applyProtection="0"/>
    <xf numFmtId="0" fontId="64" fillId="10" borderId="0" applyNumberFormat="0" applyBorder="0" applyAlignment="0" applyProtection="0"/>
    <xf numFmtId="0" fontId="64" fillId="10" borderId="0" applyNumberFormat="0" applyBorder="0" applyAlignment="0" applyProtection="0"/>
    <xf numFmtId="0" fontId="64" fillId="10" borderId="0" applyNumberFormat="0" applyBorder="0" applyAlignment="0" applyProtection="0"/>
    <xf numFmtId="0" fontId="64" fillId="10" borderId="0" applyNumberFormat="0" applyBorder="0" applyAlignment="0" applyProtection="0"/>
    <xf numFmtId="0" fontId="64" fillId="10" borderId="0" applyNumberFormat="0" applyBorder="0" applyAlignment="0" applyProtection="0"/>
    <xf numFmtId="0" fontId="64" fillId="10" borderId="0" applyNumberFormat="0" applyBorder="0" applyAlignment="0" applyProtection="0"/>
    <xf numFmtId="0" fontId="64" fillId="10" borderId="0" applyNumberFormat="0" applyBorder="0" applyAlignment="0" applyProtection="0"/>
    <xf numFmtId="0" fontId="64" fillId="10" borderId="0" applyNumberFormat="0" applyBorder="0" applyAlignment="0" applyProtection="0"/>
    <xf numFmtId="0" fontId="64" fillId="10" borderId="0" applyNumberFormat="0" applyBorder="0" applyAlignment="0" applyProtection="0"/>
    <xf numFmtId="0" fontId="64" fillId="10" borderId="0" applyNumberFormat="0" applyBorder="0" applyAlignment="0" applyProtection="0"/>
    <xf numFmtId="0" fontId="64" fillId="10" borderId="0" applyNumberFormat="0" applyBorder="0" applyAlignment="0" applyProtection="0"/>
    <xf numFmtId="0" fontId="64" fillId="10" borderId="0" applyNumberFormat="0" applyBorder="0" applyAlignment="0" applyProtection="0"/>
    <xf numFmtId="0" fontId="64" fillId="10" borderId="0" applyNumberFormat="0" applyBorder="0" applyAlignment="0" applyProtection="0"/>
    <xf numFmtId="0" fontId="64" fillId="10" borderId="0" applyNumberFormat="0" applyBorder="0" applyAlignment="0" applyProtection="0"/>
    <xf numFmtId="0" fontId="64" fillId="10" borderId="0" applyNumberFormat="0" applyBorder="0" applyAlignment="0" applyProtection="0"/>
    <xf numFmtId="0" fontId="64" fillId="10" borderId="0" applyNumberFormat="0" applyBorder="0" applyAlignment="0" applyProtection="0"/>
    <xf numFmtId="0" fontId="64" fillId="10" borderId="0" applyNumberFormat="0" applyBorder="0" applyAlignment="0" applyProtection="0"/>
    <xf numFmtId="0" fontId="64" fillId="10" borderId="0" applyNumberFormat="0" applyBorder="0" applyAlignment="0" applyProtection="0"/>
    <xf numFmtId="0" fontId="64" fillId="14" borderId="0" applyNumberFormat="0" applyBorder="0" applyAlignment="0" applyProtection="0"/>
    <xf numFmtId="0" fontId="64" fillId="14" borderId="0" applyNumberFormat="0" applyBorder="0" applyAlignment="0" applyProtection="0"/>
    <xf numFmtId="0" fontId="64" fillId="14" borderId="0" applyNumberFormat="0" applyBorder="0" applyAlignment="0" applyProtection="0"/>
    <xf numFmtId="0" fontId="64" fillId="14" borderId="0" applyNumberFormat="0" applyBorder="0" applyAlignment="0" applyProtection="0"/>
    <xf numFmtId="0" fontId="64" fillId="14" borderId="0" applyNumberFormat="0" applyBorder="0" applyAlignment="0" applyProtection="0"/>
    <xf numFmtId="0" fontId="64" fillId="14" borderId="0" applyNumberFormat="0" applyBorder="0" applyAlignment="0" applyProtection="0"/>
    <xf numFmtId="0" fontId="64" fillId="14" borderId="0" applyNumberFormat="0" applyBorder="0" applyAlignment="0" applyProtection="0"/>
    <xf numFmtId="0" fontId="64" fillId="14" borderId="0" applyNumberFormat="0" applyBorder="0" applyAlignment="0" applyProtection="0"/>
    <xf numFmtId="0" fontId="64" fillId="14" borderId="0" applyNumberFormat="0" applyBorder="0" applyAlignment="0" applyProtection="0"/>
    <xf numFmtId="0" fontId="64" fillId="14" borderId="0" applyNumberFormat="0" applyBorder="0" applyAlignment="0" applyProtection="0"/>
    <xf numFmtId="0" fontId="64" fillId="14" borderId="0" applyNumberFormat="0" applyBorder="0" applyAlignment="0" applyProtection="0"/>
    <xf numFmtId="0" fontId="64" fillId="14" borderId="0" applyNumberFormat="0" applyBorder="0" applyAlignment="0" applyProtection="0"/>
    <xf numFmtId="0" fontId="64" fillId="14" borderId="0" applyNumberFormat="0" applyBorder="0" applyAlignment="0" applyProtection="0"/>
    <xf numFmtId="0" fontId="64" fillId="14" borderId="0" applyNumberFormat="0" applyBorder="0" applyAlignment="0" applyProtection="0"/>
    <xf numFmtId="0" fontId="64" fillId="14" borderId="0" applyNumberFormat="0" applyBorder="0" applyAlignment="0" applyProtection="0"/>
    <xf numFmtId="0" fontId="64" fillId="14" borderId="0" applyNumberFormat="0" applyBorder="0" applyAlignment="0" applyProtection="0"/>
    <xf numFmtId="0" fontId="64" fillId="14" borderId="0" applyNumberFormat="0" applyBorder="0" applyAlignment="0" applyProtection="0"/>
    <xf numFmtId="0" fontId="64" fillId="14" borderId="0" applyNumberFormat="0" applyBorder="0" applyAlignment="0" applyProtection="0"/>
    <xf numFmtId="0" fontId="64" fillId="18" borderId="0" applyNumberFormat="0" applyBorder="0" applyAlignment="0" applyProtection="0"/>
    <xf numFmtId="0" fontId="64" fillId="18" borderId="0" applyNumberFormat="0" applyBorder="0" applyAlignment="0" applyProtection="0"/>
    <xf numFmtId="0" fontId="64" fillId="18" borderId="0" applyNumberFormat="0" applyBorder="0" applyAlignment="0" applyProtection="0"/>
    <xf numFmtId="0" fontId="64" fillId="18" borderId="0" applyNumberFormat="0" applyBorder="0" applyAlignment="0" applyProtection="0"/>
    <xf numFmtId="0" fontId="64" fillId="18" borderId="0" applyNumberFormat="0" applyBorder="0" applyAlignment="0" applyProtection="0"/>
    <xf numFmtId="0" fontId="64" fillId="18" borderId="0" applyNumberFormat="0" applyBorder="0" applyAlignment="0" applyProtection="0"/>
    <xf numFmtId="0" fontId="64" fillId="18" borderId="0" applyNumberFormat="0" applyBorder="0" applyAlignment="0" applyProtection="0"/>
    <xf numFmtId="0" fontId="64" fillId="18" borderId="0" applyNumberFormat="0" applyBorder="0" applyAlignment="0" applyProtection="0"/>
    <xf numFmtId="0" fontId="64" fillId="18" borderId="0" applyNumberFormat="0" applyBorder="0" applyAlignment="0" applyProtection="0"/>
    <xf numFmtId="0" fontId="64" fillId="18" borderId="0" applyNumberFormat="0" applyBorder="0" applyAlignment="0" applyProtection="0"/>
    <xf numFmtId="0" fontId="64" fillId="18" borderId="0" applyNumberFormat="0" applyBorder="0" applyAlignment="0" applyProtection="0"/>
    <xf numFmtId="0" fontId="64" fillId="18" borderId="0" applyNumberFormat="0" applyBorder="0" applyAlignment="0" applyProtection="0"/>
    <xf numFmtId="0" fontId="64" fillId="18" borderId="0" applyNumberFormat="0" applyBorder="0" applyAlignment="0" applyProtection="0"/>
    <xf numFmtId="0" fontId="64" fillId="18" borderId="0" applyNumberFormat="0" applyBorder="0" applyAlignment="0" applyProtection="0"/>
    <xf numFmtId="0" fontId="64" fillId="18" borderId="0" applyNumberFormat="0" applyBorder="0" applyAlignment="0" applyProtection="0"/>
    <xf numFmtId="0" fontId="64" fillId="18" borderId="0" applyNumberFormat="0" applyBorder="0" applyAlignment="0" applyProtection="0"/>
    <xf numFmtId="0" fontId="64" fillId="18" borderId="0" applyNumberFormat="0" applyBorder="0" applyAlignment="0" applyProtection="0"/>
    <xf numFmtId="0" fontId="64" fillId="18" borderId="0" applyNumberFormat="0" applyBorder="0" applyAlignment="0" applyProtection="0"/>
    <xf numFmtId="0" fontId="64" fillId="22" borderId="0" applyNumberFormat="0" applyBorder="0" applyAlignment="0" applyProtection="0"/>
    <xf numFmtId="0" fontId="64" fillId="22" borderId="0" applyNumberFormat="0" applyBorder="0" applyAlignment="0" applyProtection="0"/>
    <xf numFmtId="0" fontId="64" fillId="22" borderId="0" applyNumberFormat="0" applyBorder="0" applyAlignment="0" applyProtection="0"/>
    <xf numFmtId="0" fontId="64" fillId="22" borderId="0" applyNumberFormat="0" applyBorder="0" applyAlignment="0" applyProtection="0"/>
    <xf numFmtId="0" fontId="64" fillId="22" borderId="0" applyNumberFormat="0" applyBorder="0" applyAlignment="0" applyProtection="0"/>
    <xf numFmtId="0" fontId="64" fillId="22" borderId="0" applyNumberFormat="0" applyBorder="0" applyAlignment="0" applyProtection="0"/>
    <xf numFmtId="0" fontId="64" fillId="22" borderId="0" applyNumberFormat="0" applyBorder="0" applyAlignment="0" applyProtection="0"/>
    <xf numFmtId="0" fontId="64" fillId="22" borderId="0" applyNumberFormat="0" applyBorder="0" applyAlignment="0" applyProtection="0"/>
    <xf numFmtId="0" fontId="64" fillId="22" borderId="0" applyNumberFormat="0" applyBorder="0" applyAlignment="0" applyProtection="0"/>
    <xf numFmtId="0" fontId="64" fillId="22" borderId="0" applyNumberFormat="0" applyBorder="0" applyAlignment="0" applyProtection="0"/>
    <xf numFmtId="0" fontId="64" fillId="22" borderId="0" applyNumberFormat="0" applyBorder="0" applyAlignment="0" applyProtection="0"/>
    <xf numFmtId="0" fontId="64" fillId="22" borderId="0" applyNumberFormat="0" applyBorder="0" applyAlignment="0" applyProtection="0"/>
    <xf numFmtId="0" fontId="64" fillId="22" borderId="0" applyNumberFormat="0" applyBorder="0" applyAlignment="0" applyProtection="0"/>
    <xf numFmtId="0" fontId="64" fillId="22" borderId="0" applyNumberFormat="0" applyBorder="0" applyAlignment="0" applyProtection="0"/>
    <xf numFmtId="0" fontId="64" fillId="22" borderId="0" applyNumberFormat="0" applyBorder="0" applyAlignment="0" applyProtection="0"/>
    <xf numFmtId="0" fontId="64" fillId="22" borderId="0" applyNumberFormat="0" applyBorder="0" applyAlignment="0" applyProtection="0"/>
    <xf numFmtId="0" fontId="64" fillId="22" borderId="0" applyNumberFormat="0" applyBorder="0" applyAlignment="0" applyProtection="0"/>
    <xf numFmtId="0" fontId="64" fillId="22" borderId="0" applyNumberFormat="0" applyBorder="0" applyAlignment="0" applyProtection="0"/>
    <xf numFmtId="0" fontId="64" fillId="26" borderId="0" applyNumberFormat="0" applyBorder="0" applyAlignment="0" applyProtection="0"/>
    <xf numFmtId="0" fontId="64" fillId="26" borderId="0" applyNumberFormat="0" applyBorder="0" applyAlignment="0" applyProtection="0"/>
    <xf numFmtId="0" fontId="64" fillId="26" borderId="0" applyNumberFormat="0" applyBorder="0" applyAlignment="0" applyProtection="0"/>
    <xf numFmtId="0" fontId="64" fillId="26" borderId="0" applyNumberFormat="0" applyBorder="0" applyAlignment="0" applyProtection="0"/>
    <xf numFmtId="0" fontId="64" fillId="26" borderId="0" applyNumberFormat="0" applyBorder="0" applyAlignment="0" applyProtection="0"/>
    <xf numFmtId="0" fontId="64" fillId="26" borderId="0" applyNumberFormat="0" applyBorder="0" applyAlignment="0" applyProtection="0"/>
    <xf numFmtId="0" fontId="64" fillId="26" borderId="0" applyNumberFormat="0" applyBorder="0" applyAlignment="0" applyProtection="0"/>
    <xf numFmtId="0" fontId="64" fillId="26" borderId="0" applyNumberFormat="0" applyBorder="0" applyAlignment="0" applyProtection="0"/>
    <xf numFmtId="0" fontId="64" fillId="26" borderId="0" applyNumberFormat="0" applyBorder="0" applyAlignment="0" applyProtection="0"/>
    <xf numFmtId="0" fontId="64" fillId="26" borderId="0" applyNumberFormat="0" applyBorder="0" applyAlignment="0" applyProtection="0"/>
    <xf numFmtId="0" fontId="64" fillId="26" borderId="0" applyNumberFormat="0" applyBorder="0" applyAlignment="0" applyProtection="0"/>
    <xf numFmtId="0" fontId="64" fillId="26" borderId="0" applyNumberFormat="0" applyBorder="0" applyAlignment="0" applyProtection="0"/>
    <xf numFmtId="0" fontId="64" fillId="26" borderId="0" applyNumberFormat="0" applyBorder="0" applyAlignment="0" applyProtection="0"/>
    <xf numFmtId="0" fontId="64" fillId="26" borderId="0" applyNumberFormat="0" applyBorder="0" applyAlignment="0" applyProtection="0"/>
    <xf numFmtId="0" fontId="64" fillId="26" borderId="0" applyNumberFormat="0" applyBorder="0" applyAlignment="0" applyProtection="0"/>
    <xf numFmtId="0" fontId="64" fillId="26" borderId="0" applyNumberFormat="0" applyBorder="0" applyAlignment="0" applyProtection="0"/>
    <xf numFmtId="0" fontId="64" fillId="26" borderId="0" applyNumberFormat="0" applyBorder="0" applyAlignment="0" applyProtection="0"/>
    <xf numFmtId="0" fontId="64" fillId="26" borderId="0" applyNumberFormat="0" applyBorder="0" applyAlignment="0" applyProtection="0"/>
    <xf numFmtId="0" fontId="64" fillId="30" borderId="0" applyNumberFormat="0" applyBorder="0" applyAlignment="0" applyProtection="0"/>
    <xf numFmtId="0" fontId="64" fillId="30" borderId="0" applyNumberFormat="0" applyBorder="0" applyAlignment="0" applyProtection="0"/>
    <xf numFmtId="0" fontId="64" fillId="30" borderId="0" applyNumberFormat="0" applyBorder="0" applyAlignment="0" applyProtection="0"/>
    <xf numFmtId="0" fontId="64" fillId="30" borderId="0" applyNumberFormat="0" applyBorder="0" applyAlignment="0" applyProtection="0"/>
    <xf numFmtId="0" fontId="64" fillId="30" borderId="0" applyNumberFormat="0" applyBorder="0" applyAlignment="0" applyProtection="0"/>
    <xf numFmtId="0" fontId="64" fillId="30" borderId="0" applyNumberFormat="0" applyBorder="0" applyAlignment="0" applyProtection="0"/>
    <xf numFmtId="0" fontId="64" fillId="30" borderId="0" applyNumberFormat="0" applyBorder="0" applyAlignment="0" applyProtection="0"/>
    <xf numFmtId="0" fontId="64" fillId="30" borderId="0" applyNumberFormat="0" applyBorder="0" applyAlignment="0" applyProtection="0"/>
    <xf numFmtId="0" fontId="64" fillId="30" borderId="0" applyNumberFormat="0" applyBorder="0" applyAlignment="0" applyProtection="0"/>
    <xf numFmtId="0" fontId="64" fillId="30" borderId="0" applyNumberFormat="0" applyBorder="0" applyAlignment="0" applyProtection="0"/>
    <xf numFmtId="0" fontId="64" fillId="30" borderId="0" applyNumberFormat="0" applyBorder="0" applyAlignment="0" applyProtection="0"/>
    <xf numFmtId="0" fontId="64" fillId="30" borderId="0" applyNumberFormat="0" applyBorder="0" applyAlignment="0" applyProtection="0"/>
    <xf numFmtId="0" fontId="64" fillId="30" borderId="0" applyNumberFormat="0" applyBorder="0" applyAlignment="0" applyProtection="0"/>
    <xf numFmtId="0" fontId="64" fillId="30" borderId="0" applyNumberFormat="0" applyBorder="0" applyAlignment="0" applyProtection="0"/>
    <xf numFmtId="0" fontId="64" fillId="30" borderId="0" applyNumberFormat="0" applyBorder="0" applyAlignment="0" applyProtection="0"/>
    <xf numFmtId="0" fontId="64" fillId="30" borderId="0" applyNumberFormat="0" applyBorder="0" applyAlignment="0" applyProtection="0"/>
    <xf numFmtId="0" fontId="64" fillId="30" borderId="0" applyNumberFormat="0" applyBorder="0" applyAlignment="0" applyProtection="0"/>
    <xf numFmtId="0" fontId="64" fillId="30" borderId="0" applyNumberFormat="0" applyBorder="0" applyAlignment="0" applyProtection="0"/>
    <xf numFmtId="0" fontId="26" fillId="39" borderId="0" applyNumberFormat="0" applyBorder="0" applyAlignment="0" applyProtection="0"/>
    <xf numFmtId="0" fontId="47" fillId="39" borderId="0" applyNumberFormat="0" applyBorder="0" applyAlignment="0" applyProtection="0"/>
    <xf numFmtId="0" fontId="47" fillId="39" borderId="0" applyNumberFormat="0" applyBorder="0" applyAlignment="0" applyProtection="0"/>
    <xf numFmtId="0" fontId="47" fillId="39" borderId="0" applyNumberFormat="0" applyBorder="0" applyAlignment="0" applyProtection="0"/>
    <xf numFmtId="0" fontId="47" fillId="39" borderId="0" applyNumberFormat="0" applyBorder="0" applyAlignment="0" applyProtection="0"/>
    <xf numFmtId="0" fontId="26" fillId="40" borderId="0" applyNumberFormat="0" applyBorder="0" applyAlignment="0" applyProtection="0"/>
    <xf numFmtId="0" fontId="47" fillId="40" borderId="0" applyNumberFormat="0" applyBorder="0" applyAlignment="0" applyProtection="0"/>
    <xf numFmtId="0" fontId="47" fillId="40" borderId="0" applyNumberFormat="0" applyBorder="0" applyAlignment="0" applyProtection="0"/>
    <xf numFmtId="0" fontId="47" fillId="40" borderId="0" applyNumberFormat="0" applyBorder="0" applyAlignment="0" applyProtection="0"/>
    <xf numFmtId="0" fontId="47" fillId="40" borderId="0" applyNumberFormat="0" applyBorder="0" applyAlignment="0" applyProtection="0"/>
    <xf numFmtId="0" fontId="26" fillId="41" borderId="0" applyNumberFormat="0" applyBorder="0" applyAlignment="0" applyProtection="0"/>
    <xf numFmtId="0" fontId="47" fillId="41" borderId="0" applyNumberFormat="0" applyBorder="0" applyAlignment="0" applyProtection="0"/>
    <xf numFmtId="0" fontId="47" fillId="41" borderId="0" applyNumberFormat="0" applyBorder="0" applyAlignment="0" applyProtection="0"/>
    <xf numFmtId="0" fontId="47" fillId="41" borderId="0" applyNumberFormat="0" applyBorder="0" applyAlignment="0" applyProtection="0"/>
    <xf numFmtId="0" fontId="47" fillId="41" borderId="0" applyNumberFormat="0" applyBorder="0" applyAlignment="0" applyProtection="0"/>
    <xf numFmtId="0" fontId="26" fillId="36" borderId="0" applyNumberFormat="0" applyBorder="0" applyAlignment="0" applyProtection="0"/>
    <xf numFmtId="0" fontId="47" fillId="36" borderId="0" applyNumberFormat="0" applyBorder="0" applyAlignment="0" applyProtection="0"/>
    <xf numFmtId="0" fontId="47" fillId="36" borderId="0" applyNumberFormat="0" applyBorder="0" applyAlignment="0" applyProtection="0"/>
    <xf numFmtId="0" fontId="47" fillId="36" borderId="0" applyNumberFormat="0" applyBorder="0" applyAlignment="0" applyProtection="0"/>
    <xf numFmtId="0" fontId="47" fillId="36" borderId="0" applyNumberFormat="0" applyBorder="0" applyAlignment="0" applyProtection="0"/>
    <xf numFmtId="0" fontId="26" fillId="39" borderId="0" applyNumberFormat="0" applyBorder="0" applyAlignment="0" applyProtection="0"/>
    <xf numFmtId="0" fontId="47" fillId="39" borderId="0" applyNumberFormat="0" applyBorder="0" applyAlignment="0" applyProtection="0"/>
    <xf numFmtId="0" fontId="47" fillId="39" borderId="0" applyNumberFormat="0" applyBorder="0" applyAlignment="0" applyProtection="0"/>
    <xf numFmtId="0" fontId="47" fillId="39" borderId="0" applyNumberFormat="0" applyBorder="0" applyAlignment="0" applyProtection="0"/>
    <xf numFmtId="0" fontId="47" fillId="39" borderId="0" applyNumberFormat="0" applyBorder="0" applyAlignment="0" applyProtection="0"/>
    <xf numFmtId="0" fontId="26" fillId="42" borderId="0" applyNumberFormat="0" applyBorder="0" applyAlignment="0" applyProtection="0"/>
    <xf numFmtId="0" fontId="47" fillId="42" borderId="0" applyNumberFormat="0" applyBorder="0" applyAlignment="0" applyProtection="0"/>
    <xf numFmtId="0" fontId="47" fillId="42" borderId="0" applyNumberFormat="0" applyBorder="0" applyAlignment="0" applyProtection="0"/>
    <xf numFmtId="0" fontId="47" fillId="42" borderId="0" applyNumberFormat="0" applyBorder="0" applyAlignment="0" applyProtection="0"/>
    <xf numFmtId="0" fontId="47" fillId="42" borderId="0" applyNumberFormat="0" applyBorder="0" applyAlignment="0" applyProtection="0"/>
    <xf numFmtId="0" fontId="64" fillId="11" borderId="0" applyNumberFormat="0" applyBorder="0" applyAlignment="0" applyProtection="0"/>
    <xf numFmtId="0" fontId="64" fillId="11" borderId="0" applyNumberFormat="0" applyBorder="0" applyAlignment="0" applyProtection="0"/>
    <xf numFmtId="0" fontId="64" fillId="11" borderId="0" applyNumberFormat="0" applyBorder="0" applyAlignment="0" applyProtection="0"/>
    <xf numFmtId="0" fontId="64" fillId="11" borderId="0" applyNumberFormat="0" applyBorder="0" applyAlignment="0" applyProtection="0"/>
    <xf numFmtId="0" fontId="64" fillId="11" borderId="0" applyNumberFormat="0" applyBorder="0" applyAlignment="0" applyProtection="0"/>
    <xf numFmtId="0" fontId="64" fillId="11" borderId="0" applyNumberFormat="0" applyBorder="0" applyAlignment="0" applyProtection="0"/>
    <xf numFmtId="0" fontId="64" fillId="11" borderId="0" applyNumberFormat="0" applyBorder="0" applyAlignment="0" applyProtection="0"/>
    <xf numFmtId="0" fontId="64" fillId="11" borderId="0" applyNumberFormat="0" applyBorder="0" applyAlignment="0" applyProtection="0"/>
    <xf numFmtId="0" fontId="64" fillId="11" borderId="0" applyNumberFormat="0" applyBorder="0" applyAlignment="0" applyProtection="0"/>
    <xf numFmtId="0" fontId="64" fillId="11" borderId="0" applyNumberFormat="0" applyBorder="0" applyAlignment="0" applyProtection="0"/>
    <xf numFmtId="0" fontId="64" fillId="11" borderId="0" applyNumberFormat="0" applyBorder="0" applyAlignment="0" applyProtection="0"/>
    <xf numFmtId="0" fontId="64" fillId="11" borderId="0" applyNumberFormat="0" applyBorder="0" applyAlignment="0" applyProtection="0"/>
    <xf numFmtId="0" fontId="64" fillId="11" borderId="0" applyNumberFormat="0" applyBorder="0" applyAlignment="0" applyProtection="0"/>
    <xf numFmtId="0" fontId="64" fillId="11" borderId="0" applyNumberFormat="0" applyBorder="0" applyAlignment="0" applyProtection="0"/>
    <xf numFmtId="0" fontId="64" fillId="11" borderId="0" applyNumberFormat="0" applyBorder="0" applyAlignment="0" applyProtection="0"/>
    <xf numFmtId="0" fontId="64" fillId="11" borderId="0" applyNumberFormat="0" applyBorder="0" applyAlignment="0" applyProtection="0"/>
    <xf numFmtId="0" fontId="64" fillId="11" borderId="0" applyNumberFormat="0" applyBorder="0" applyAlignment="0" applyProtection="0"/>
    <xf numFmtId="0" fontId="64" fillId="11" borderId="0" applyNumberFormat="0" applyBorder="0" applyAlignment="0" applyProtection="0"/>
    <xf numFmtId="0" fontId="64" fillId="15" borderId="0" applyNumberFormat="0" applyBorder="0" applyAlignment="0" applyProtection="0"/>
    <xf numFmtId="0" fontId="64" fillId="15" borderId="0" applyNumberFormat="0" applyBorder="0" applyAlignment="0" applyProtection="0"/>
    <xf numFmtId="0" fontId="64" fillId="15" borderId="0" applyNumberFormat="0" applyBorder="0" applyAlignment="0" applyProtection="0"/>
    <xf numFmtId="0" fontId="64" fillId="15" borderId="0" applyNumberFormat="0" applyBorder="0" applyAlignment="0" applyProtection="0"/>
    <xf numFmtId="0" fontId="64" fillId="15" borderId="0" applyNumberFormat="0" applyBorder="0" applyAlignment="0" applyProtection="0"/>
    <xf numFmtId="0" fontId="64" fillId="15" borderId="0" applyNumberFormat="0" applyBorder="0" applyAlignment="0" applyProtection="0"/>
    <xf numFmtId="0" fontId="64" fillId="15" borderId="0" applyNumberFormat="0" applyBorder="0" applyAlignment="0" applyProtection="0"/>
    <xf numFmtId="0" fontId="64" fillId="15" borderId="0" applyNumberFormat="0" applyBorder="0" applyAlignment="0" applyProtection="0"/>
    <xf numFmtId="0" fontId="64" fillId="15" borderId="0" applyNumberFormat="0" applyBorder="0" applyAlignment="0" applyProtection="0"/>
    <xf numFmtId="0" fontId="64" fillId="15" borderId="0" applyNumberFormat="0" applyBorder="0" applyAlignment="0" applyProtection="0"/>
    <xf numFmtId="0" fontId="64" fillId="15" borderId="0" applyNumberFormat="0" applyBorder="0" applyAlignment="0" applyProtection="0"/>
    <xf numFmtId="0" fontId="64" fillId="15" borderId="0" applyNumberFormat="0" applyBorder="0" applyAlignment="0" applyProtection="0"/>
    <xf numFmtId="0" fontId="64" fillId="15" borderId="0" applyNumberFormat="0" applyBorder="0" applyAlignment="0" applyProtection="0"/>
    <xf numFmtId="0" fontId="64" fillId="15" borderId="0" applyNumberFormat="0" applyBorder="0" applyAlignment="0" applyProtection="0"/>
    <xf numFmtId="0" fontId="64" fillId="15" borderId="0" applyNumberFormat="0" applyBorder="0" applyAlignment="0" applyProtection="0"/>
    <xf numFmtId="0" fontId="64" fillId="15" borderId="0" applyNumberFormat="0" applyBorder="0" applyAlignment="0" applyProtection="0"/>
    <xf numFmtId="0" fontId="64" fillId="15" borderId="0" applyNumberFormat="0" applyBorder="0" applyAlignment="0" applyProtection="0"/>
    <xf numFmtId="0" fontId="64" fillId="15" borderId="0" applyNumberFormat="0" applyBorder="0" applyAlignment="0" applyProtection="0"/>
    <xf numFmtId="0" fontId="64" fillId="19" borderId="0" applyNumberFormat="0" applyBorder="0" applyAlignment="0" applyProtection="0"/>
    <xf numFmtId="0" fontId="64" fillId="19" borderId="0" applyNumberFormat="0" applyBorder="0" applyAlignment="0" applyProtection="0"/>
    <xf numFmtId="0" fontId="64" fillId="19" borderId="0" applyNumberFormat="0" applyBorder="0" applyAlignment="0" applyProtection="0"/>
    <xf numFmtId="0" fontId="64" fillId="19" borderId="0" applyNumberFormat="0" applyBorder="0" applyAlignment="0" applyProtection="0"/>
    <xf numFmtId="0" fontId="64" fillId="19" borderId="0" applyNumberFormat="0" applyBorder="0" applyAlignment="0" applyProtection="0"/>
    <xf numFmtId="0" fontId="64" fillId="19" borderId="0" applyNumberFormat="0" applyBorder="0" applyAlignment="0" applyProtection="0"/>
    <xf numFmtId="0" fontId="64" fillId="19" borderId="0" applyNumberFormat="0" applyBorder="0" applyAlignment="0" applyProtection="0"/>
    <xf numFmtId="0" fontId="64" fillId="19" borderId="0" applyNumberFormat="0" applyBorder="0" applyAlignment="0" applyProtection="0"/>
    <xf numFmtId="0" fontId="64" fillId="19" borderId="0" applyNumberFormat="0" applyBorder="0" applyAlignment="0" applyProtection="0"/>
    <xf numFmtId="0" fontId="64" fillId="19" borderId="0" applyNumberFormat="0" applyBorder="0" applyAlignment="0" applyProtection="0"/>
    <xf numFmtId="0" fontId="64" fillId="19" borderId="0" applyNumberFormat="0" applyBorder="0" applyAlignment="0" applyProtection="0"/>
    <xf numFmtId="0" fontId="64" fillId="19" borderId="0" applyNumberFormat="0" applyBorder="0" applyAlignment="0" applyProtection="0"/>
    <xf numFmtId="0" fontId="64" fillId="19" borderId="0" applyNumberFormat="0" applyBorder="0" applyAlignment="0" applyProtection="0"/>
    <xf numFmtId="0" fontId="64" fillId="19" borderId="0" applyNumberFormat="0" applyBorder="0" applyAlignment="0" applyProtection="0"/>
    <xf numFmtId="0" fontId="64" fillId="19" borderId="0" applyNumberFormat="0" applyBorder="0" applyAlignment="0" applyProtection="0"/>
    <xf numFmtId="0" fontId="64" fillId="19" borderId="0" applyNumberFormat="0" applyBorder="0" applyAlignment="0" applyProtection="0"/>
    <xf numFmtId="0" fontId="64" fillId="19" borderId="0" applyNumberFormat="0" applyBorder="0" applyAlignment="0" applyProtection="0"/>
    <xf numFmtId="0" fontId="64" fillId="19" borderId="0" applyNumberFormat="0" applyBorder="0" applyAlignment="0" applyProtection="0"/>
    <xf numFmtId="0" fontId="64" fillId="23" borderId="0" applyNumberFormat="0" applyBorder="0" applyAlignment="0" applyProtection="0"/>
    <xf numFmtId="0" fontId="64" fillId="23" borderId="0" applyNumberFormat="0" applyBorder="0" applyAlignment="0" applyProtection="0"/>
    <xf numFmtId="0" fontId="64" fillId="23" borderId="0" applyNumberFormat="0" applyBorder="0" applyAlignment="0" applyProtection="0"/>
    <xf numFmtId="0" fontId="64" fillId="23" borderId="0" applyNumberFormat="0" applyBorder="0" applyAlignment="0" applyProtection="0"/>
    <xf numFmtId="0" fontId="64" fillId="23" borderId="0" applyNumberFormat="0" applyBorder="0" applyAlignment="0" applyProtection="0"/>
    <xf numFmtId="0" fontId="64" fillId="23" borderId="0" applyNumberFormat="0" applyBorder="0" applyAlignment="0" applyProtection="0"/>
    <xf numFmtId="0" fontId="64" fillId="23" borderId="0" applyNumberFormat="0" applyBorder="0" applyAlignment="0" applyProtection="0"/>
    <xf numFmtId="0" fontId="64" fillId="23" borderId="0" applyNumberFormat="0" applyBorder="0" applyAlignment="0" applyProtection="0"/>
    <xf numFmtId="0" fontId="64" fillId="23" borderId="0" applyNumberFormat="0" applyBorder="0" applyAlignment="0" applyProtection="0"/>
    <xf numFmtId="0" fontId="64" fillId="23" borderId="0" applyNumberFormat="0" applyBorder="0" applyAlignment="0" applyProtection="0"/>
    <xf numFmtId="0" fontId="64" fillId="23" borderId="0" applyNumberFormat="0" applyBorder="0" applyAlignment="0" applyProtection="0"/>
    <xf numFmtId="0" fontId="64" fillId="23" borderId="0" applyNumberFormat="0" applyBorder="0" applyAlignment="0" applyProtection="0"/>
    <xf numFmtId="0" fontId="64" fillId="23" borderId="0" applyNumberFormat="0" applyBorder="0" applyAlignment="0" applyProtection="0"/>
    <xf numFmtId="0" fontId="64" fillId="23" borderId="0" applyNumberFormat="0" applyBorder="0" applyAlignment="0" applyProtection="0"/>
    <xf numFmtId="0" fontId="64" fillId="23" borderId="0" applyNumberFormat="0" applyBorder="0" applyAlignment="0" applyProtection="0"/>
    <xf numFmtId="0" fontId="64" fillId="23" borderId="0" applyNumberFormat="0" applyBorder="0" applyAlignment="0" applyProtection="0"/>
    <xf numFmtId="0" fontId="64" fillId="23" borderId="0" applyNumberFormat="0" applyBorder="0" applyAlignment="0" applyProtection="0"/>
    <xf numFmtId="0" fontId="64" fillId="23" borderId="0" applyNumberFormat="0" applyBorder="0" applyAlignment="0" applyProtection="0"/>
    <xf numFmtId="0" fontId="64" fillId="27" borderId="0" applyNumberFormat="0" applyBorder="0" applyAlignment="0" applyProtection="0"/>
    <xf numFmtId="0" fontId="64" fillId="27" borderId="0" applyNumberFormat="0" applyBorder="0" applyAlignment="0" applyProtection="0"/>
    <xf numFmtId="0" fontId="64" fillId="27" borderId="0" applyNumberFormat="0" applyBorder="0" applyAlignment="0" applyProtection="0"/>
    <xf numFmtId="0" fontId="64" fillId="27" borderId="0" applyNumberFormat="0" applyBorder="0" applyAlignment="0" applyProtection="0"/>
    <xf numFmtId="0" fontId="64" fillId="27" borderId="0" applyNumberFormat="0" applyBorder="0" applyAlignment="0" applyProtection="0"/>
    <xf numFmtId="0" fontId="64" fillId="27" borderId="0" applyNumberFormat="0" applyBorder="0" applyAlignment="0" applyProtection="0"/>
    <xf numFmtId="0" fontId="64" fillId="27" borderId="0" applyNumberFormat="0" applyBorder="0" applyAlignment="0" applyProtection="0"/>
    <xf numFmtId="0" fontId="64" fillId="27" borderId="0" applyNumberFormat="0" applyBorder="0" applyAlignment="0" applyProtection="0"/>
    <xf numFmtId="0" fontId="64" fillId="27" borderId="0" applyNumberFormat="0" applyBorder="0" applyAlignment="0" applyProtection="0"/>
    <xf numFmtId="0" fontId="64" fillId="27" borderId="0" applyNumberFormat="0" applyBorder="0" applyAlignment="0" applyProtection="0"/>
    <xf numFmtId="0" fontId="64" fillId="27" borderId="0" applyNumberFormat="0" applyBorder="0" applyAlignment="0" applyProtection="0"/>
    <xf numFmtId="0" fontId="64" fillId="27" borderId="0" applyNumberFormat="0" applyBorder="0" applyAlignment="0" applyProtection="0"/>
    <xf numFmtId="0" fontId="64" fillId="27" borderId="0" applyNumberFormat="0" applyBorder="0" applyAlignment="0" applyProtection="0"/>
    <xf numFmtId="0" fontId="64" fillId="27" borderId="0" applyNumberFormat="0" applyBorder="0" applyAlignment="0" applyProtection="0"/>
    <xf numFmtId="0" fontId="64" fillId="27" borderId="0" applyNumberFormat="0" applyBorder="0" applyAlignment="0" applyProtection="0"/>
    <xf numFmtId="0" fontId="64" fillId="27" borderId="0" applyNumberFormat="0" applyBorder="0" applyAlignment="0" applyProtection="0"/>
    <xf numFmtId="0" fontId="64" fillId="27" borderId="0" applyNumberFormat="0" applyBorder="0" applyAlignment="0" applyProtection="0"/>
    <xf numFmtId="0" fontId="64" fillId="27" borderId="0" applyNumberFormat="0" applyBorder="0" applyAlignment="0" applyProtection="0"/>
    <xf numFmtId="0" fontId="64" fillId="31" borderId="0" applyNumberFormat="0" applyBorder="0" applyAlignment="0" applyProtection="0"/>
    <xf numFmtId="0" fontId="64" fillId="31" borderId="0" applyNumberFormat="0" applyBorder="0" applyAlignment="0" applyProtection="0"/>
    <xf numFmtId="0" fontId="64" fillId="31" borderId="0" applyNumberFormat="0" applyBorder="0" applyAlignment="0" applyProtection="0"/>
    <xf numFmtId="0" fontId="64" fillId="31" borderId="0" applyNumberFormat="0" applyBorder="0" applyAlignment="0" applyProtection="0"/>
    <xf numFmtId="0" fontId="64" fillId="31" borderId="0" applyNumberFormat="0" applyBorder="0" applyAlignment="0" applyProtection="0"/>
    <xf numFmtId="0" fontId="64" fillId="31" borderId="0" applyNumberFormat="0" applyBorder="0" applyAlignment="0" applyProtection="0"/>
    <xf numFmtId="0" fontId="64" fillId="31" borderId="0" applyNumberFormat="0" applyBorder="0" applyAlignment="0" applyProtection="0"/>
    <xf numFmtId="0" fontId="64" fillId="31" borderId="0" applyNumberFormat="0" applyBorder="0" applyAlignment="0" applyProtection="0"/>
    <xf numFmtId="0" fontId="64" fillId="31" borderId="0" applyNumberFormat="0" applyBorder="0" applyAlignment="0" applyProtection="0"/>
    <xf numFmtId="0" fontId="64" fillId="31" borderId="0" applyNumberFormat="0" applyBorder="0" applyAlignment="0" applyProtection="0"/>
    <xf numFmtId="0" fontId="64" fillId="31" borderId="0" applyNumberFormat="0" applyBorder="0" applyAlignment="0" applyProtection="0"/>
    <xf numFmtId="0" fontId="64" fillId="31" borderId="0" applyNumberFormat="0" applyBorder="0" applyAlignment="0" applyProtection="0"/>
    <xf numFmtId="0" fontId="64" fillId="31" borderId="0" applyNumberFormat="0" applyBorder="0" applyAlignment="0" applyProtection="0"/>
    <xf numFmtId="0" fontId="64" fillId="31" borderId="0" applyNumberFormat="0" applyBorder="0" applyAlignment="0" applyProtection="0"/>
    <xf numFmtId="0" fontId="64" fillId="31" borderId="0" applyNumberFormat="0" applyBorder="0" applyAlignment="0" applyProtection="0"/>
    <xf numFmtId="0" fontId="64" fillId="31" borderId="0" applyNumberFormat="0" applyBorder="0" applyAlignment="0" applyProtection="0"/>
    <xf numFmtId="0" fontId="64" fillId="31" borderId="0" applyNumberFormat="0" applyBorder="0" applyAlignment="0" applyProtection="0"/>
    <xf numFmtId="0" fontId="64" fillId="31" borderId="0" applyNumberFormat="0" applyBorder="0" applyAlignment="0" applyProtection="0"/>
    <xf numFmtId="0" fontId="27" fillId="43" borderId="0" applyNumberFormat="0" applyBorder="0" applyAlignment="0" applyProtection="0"/>
    <xf numFmtId="0" fontId="48" fillId="43" borderId="0" applyNumberFormat="0" applyBorder="0" applyAlignment="0" applyProtection="0"/>
    <xf numFmtId="0" fontId="48" fillId="43" borderId="0" applyNumberFormat="0" applyBorder="0" applyAlignment="0" applyProtection="0"/>
    <xf numFmtId="0" fontId="48" fillId="43" borderId="0" applyNumberFormat="0" applyBorder="0" applyAlignment="0" applyProtection="0"/>
    <xf numFmtId="0" fontId="48" fillId="43" borderId="0" applyNumberFormat="0" applyBorder="0" applyAlignment="0" applyProtection="0"/>
    <xf numFmtId="0" fontId="27" fillId="40" borderId="0" applyNumberFormat="0" applyBorder="0" applyAlignment="0" applyProtection="0"/>
    <xf numFmtId="0" fontId="48" fillId="40" borderId="0" applyNumberFormat="0" applyBorder="0" applyAlignment="0" applyProtection="0"/>
    <xf numFmtId="0" fontId="48" fillId="40" borderId="0" applyNumberFormat="0" applyBorder="0" applyAlignment="0" applyProtection="0"/>
    <xf numFmtId="0" fontId="48" fillId="40" borderId="0" applyNumberFormat="0" applyBorder="0" applyAlignment="0" applyProtection="0"/>
    <xf numFmtId="0" fontId="48" fillId="40" borderId="0" applyNumberFormat="0" applyBorder="0" applyAlignment="0" applyProtection="0"/>
    <xf numFmtId="0" fontId="27" fillId="41" borderId="0" applyNumberFormat="0" applyBorder="0" applyAlignment="0" applyProtection="0"/>
    <xf numFmtId="0" fontId="48" fillId="41" borderId="0" applyNumberFormat="0" applyBorder="0" applyAlignment="0" applyProtection="0"/>
    <xf numFmtId="0" fontId="48" fillId="41" borderId="0" applyNumberFormat="0" applyBorder="0" applyAlignment="0" applyProtection="0"/>
    <xf numFmtId="0" fontId="48" fillId="41" borderId="0" applyNumberFormat="0" applyBorder="0" applyAlignment="0" applyProtection="0"/>
    <xf numFmtId="0" fontId="48" fillId="41" borderId="0" applyNumberFormat="0" applyBorder="0" applyAlignment="0" applyProtection="0"/>
    <xf numFmtId="0" fontId="27" fillId="44" borderId="0" applyNumberFormat="0" applyBorder="0" applyAlignment="0" applyProtection="0"/>
    <xf numFmtId="0" fontId="48" fillId="44" borderId="0" applyNumberFormat="0" applyBorder="0" applyAlignment="0" applyProtection="0"/>
    <xf numFmtId="0" fontId="48" fillId="44" borderId="0" applyNumberFormat="0" applyBorder="0" applyAlignment="0" applyProtection="0"/>
    <xf numFmtId="0" fontId="48" fillId="44" borderId="0" applyNumberFormat="0" applyBorder="0" applyAlignment="0" applyProtection="0"/>
    <xf numFmtId="0" fontId="48" fillId="44" borderId="0" applyNumberFormat="0" applyBorder="0" applyAlignment="0" applyProtection="0"/>
    <xf numFmtId="0" fontId="27" fillId="45" borderId="0" applyNumberFormat="0" applyBorder="0" applyAlignment="0" applyProtection="0"/>
    <xf numFmtId="0" fontId="48" fillId="45" borderId="0" applyNumberFormat="0" applyBorder="0" applyAlignment="0" applyProtection="0"/>
    <xf numFmtId="0" fontId="48" fillId="45" borderId="0" applyNumberFormat="0" applyBorder="0" applyAlignment="0" applyProtection="0"/>
    <xf numFmtId="0" fontId="48" fillId="45" borderId="0" applyNumberFormat="0" applyBorder="0" applyAlignment="0" applyProtection="0"/>
    <xf numFmtId="0" fontId="48" fillId="45" borderId="0" applyNumberFormat="0" applyBorder="0" applyAlignment="0" applyProtection="0"/>
    <xf numFmtId="0" fontId="27" fillId="46" borderId="0" applyNumberFormat="0" applyBorder="0" applyAlignment="0" applyProtection="0"/>
    <xf numFmtId="0" fontId="48" fillId="46" borderId="0" applyNumberFormat="0" applyBorder="0" applyAlignment="0" applyProtection="0"/>
    <xf numFmtId="0" fontId="48" fillId="46" borderId="0" applyNumberFormat="0" applyBorder="0" applyAlignment="0" applyProtection="0"/>
    <xf numFmtId="0" fontId="48" fillId="46" borderId="0" applyNumberFormat="0" applyBorder="0" applyAlignment="0" applyProtection="0"/>
    <xf numFmtId="0" fontId="48" fillId="46" borderId="0" applyNumberFormat="0" applyBorder="0" applyAlignment="0" applyProtection="0"/>
    <xf numFmtId="0" fontId="65" fillId="12" borderId="0" applyNumberFormat="0" applyBorder="0" applyAlignment="0" applyProtection="0"/>
    <xf numFmtId="0" fontId="65" fillId="12" borderId="0" applyNumberFormat="0" applyBorder="0" applyAlignment="0" applyProtection="0"/>
    <xf numFmtId="0" fontId="65" fillId="12" borderId="0" applyNumberFormat="0" applyBorder="0" applyAlignment="0" applyProtection="0"/>
    <xf numFmtId="0" fontId="65" fillId="12" borderId="0" applyNumberFormat="0" applyBorder="0" applyAlignment="0" applyProtection="0"/>
    <xf numFmtId="0" fontId="65" fillId="12" borderId="0" applyNumberFormat="0" applyBorder="0" applyAlignment="0" applyProtection="0"/>
    <xf numFmtId="0" fontId="65" fillId="12" borderId="0" applyNumberFormat="0" applyBorder="0" applyAlignment="0" applyProtection="0"/>
    <xf numFmtId="0" fontId="65" fillId="12" borderId="0" applyNumberFormat="0" applyBorder="0" applyAlignment="0" applyProtection="0"/>
    <xf numFmtId="0" fontId="65" fillId="12" borderId="0" applyNumberFormat="0" applyBorder="0" applyAlignment="0" applyProtection="0"/>
    <xf numFmtId="0" fontId="65" fillId="12" borderId="0" applyNumberFormat="0" applyBorder="0" applyAlignment="0" applyProtection="0"/>
    <xf numFmtId="0" fontId="65" fillId="12" borderId="0" applyNumberFormat="0" applyBorder="0" applyAlignment="0" applyProtection="0"/>
    <xf numFmtId="0" fontId="65" fillId="12" borderId="0" applyNumberFormat="0" applyBorder="0" applyAlignment="0" applyProtection="0"/>
    <xf numFmtId="0" fontId="65" fillId="12" borderId="0" applyNumberFormat="0" applyBorder="0" applyAlignment="0" applyProtection="0"/>
    <xf numFmtId="0" fontId="65" fillId="12" borderId="0" applyNumberFormat="0" applyBorder="0" applyAlignment="0" applyProtection="0"/>
    <xf numFmtId="0" fontId="65" fillId="12" borderId="0" applyNumberFormat="0" applyBorder="0" applyAlignment="0" applyProtection="0"/>
    <xf numFmtId="0" fontId="65" fillId="12" borderId="0" applyNumberFormat="0" applyBorder="0" applyAlignment="0" applyProtection="0"/>
    <xf numFmtId="0" fontId="65" fillId="12" borderId="0" applyNumberFormat="0" applyBorder="0" applyAlignment="0" applyProtection="0"/>
    <xf numFmtId="0" fontId="65" fillId="12" borderId="0" applyNumberFormat="0" applyBorder="0" applyAlignment="0" applyProtection="0"/>
    <xf numFmtId="0" fontId="65" fillId="12" borderId="0" applyNumberFormat="0" applyBorder="0" applyAlignment="0" applyProtection="0"/>
    <xf numFmtId="0" fontId="65" fillId="16" borderId="0" applyNumberFormat="0" applyBorder="0" applyAlignment="0" applyProtection="0"/>
    <xf numFmtId="0" fontId="65" fillId="16" borderId="0" applyNumberFormat="0" applyBorder="0" applyAlignment="0" applyProtection="0"/>
    <xf numFmtId="0" fontId="65" fillId="16" borderId="0" applyNumberFormat="0" applyBorder="0" applyAlignment="0" applyProtection="0"/>
    <xf numFmtId="0" fontId="65" fillId="16" borderId="0" applyNumberFormat="0" applyBorder="0" applyAlignment="0" applyProtection="0"/>
    <xf numFmtId="0" fontId="65" fillId="16" borderId="0" applyNumberFormat="0" applyBorder="0" applyAlignment="0" applyProtection="0"/>
    <xf numFmtId="0" fontId="65" fillId="16" borderId="0" applyNumberFormat="0" applyBorder="0" applyAlignment="0" applyProtection="0"/>
    <xf numFmtId="0" fontId="65" fillId="16" borderId="0" applyNumberFormat="0" applyBorder="0" applyAlignment="0" applyProtection="0"/>
    <xf numFmtId="0" fontId="65" fillId="16" borderId="0" applyNumberFormat="0" applyBorder="0" applyAlignment="0" applyProtection="0"/>
    <xf numFmtId="0" fontId="65" fillId="16" borderId="0" applyNumberFormat="0" applyBorder="0" applyAlignment="0" applyProtection="0"/>
    <xf numFmtId="0" fontId="65" fillId="16" borderId="0" applyNumberFormat="0" applyBorder="0" applyAlignment="0" applyProtection="0"/>
    <xf numFmtId="0" fontId="65" fillId="16" borderId="0" applyNumberFormat="0" applyBorder="0" applyAlignment="0" applyProtection="0"/>
    <xf numFmtId="0" fontId="65" fillId="16" borderId="0" applyNumberFormat="0" applyBorder="0" applyAlignment="0" applyProtection="0"/>
    <xf numFmtId="0" fontId="65" fillId="16" borderId="0" applyNumberFormat="0" applyBorder="0" applyAlignment="0" applyProtection="0"/>
    <xf numFmtId="0" fontId="65" fillId="16" borderId="0" applyNumberFormat="0" applyBorder="0" applyAlignment="0" applyProtection="0"/>
    <xf numFmtId="0" fontId="65" fillId="16" borderId="0" applyNumberFormat="0" applyBorder="0" applyAlignment="0" applyProtection="0"/>
    <xf numFmtId="0" fontId="65" fillId="16" borderId="0" applyNumberFormat="0" applyBorder="0" applyAlignment="0" applyProtection="0"/>
    <xf numFmtId="0" fontId="65" fillId="16" borderId="0" applyNumberFormat="0" applyBorder="0" applyAlignment="0" applyProtection="0"/>
    <xf numFmtId="0" fontId="65" fillId="16" borderId="0" applyNumberFormat="0" applyBorder="0" applyAlignment="0" applyProtection="0"/>
    <xf numFmtId="0" fontId="65" fillId="20" borderId="0" applyNumberFormat="0" applyBorder="0" applyAlignment="0" applyProtection="0"/>
    <xf numFmtId="0" fontId="65" fillId="20" borderId="0" applyNumberFormat="0" applyBorder="0" applyAlignment="0" applyProtection="0"/>
    <xf numFmtId="0" fontId="65" fillId="20" borderId="0" applyNumberFormat="0" applyBorder="0" applyAlignment="0" applyProtection="0"/>
    <xf numFmtId="0" fontId="65" fillId="20" borderId="0" applyNumberFormat="0" applyBorder="0" applyAlignment="0" applyProtection="0"/>
    <xf numFmtId="0" fontId="65" fillId="20" borderId="0" applyNumberFormat="0" applyBorder="0" applyAlignment="0" applyProtection="0"/>
    <xf numFmtId="0" fontId="65" fillId="20" borderId="0" applyNumberFormat="0" applyBorder="0" applyAlignment="0" applyProtection="0"/>
    <xf numFmtId="0" fontId="65" fillId="20" borderId="0" applyNumberFormat="0" applyBorder="0" applyAlignment="0" applyProtection="0"/>
    <xf numFmtId="0" fontId="65" fillId="20" borderId="0" applyNumberFormat="0" applyBorder="0" applyAlignment="0" applyProtection="0"/>
    <xf numFmtId="0" fontId="65" fillId="20" borderId="0" applyNumberFormat="0" applyBorder="0" applyAlignment="0" applyProtection="0"/>
    <xf numFmtId="0" fontId="65" fillId="20" borderId="0" applyNumberFormat="0" applyBorder="0" applyAlignment="0" applyProtection="0"/>
    <xf numFmtId="0" fontId="65" fillId="20" borderId="0" applyNumberFormat="0" applyBorder="0" applyAlignment="0" applyProtection="0"/>
    <xf numFmtId="0" fontId="65" fillId="20" borderId="0" applyNumberFormat="0" applyBorder="0" applyAlignment="0" applyProtection="0"/>
    <xf numFmtId="0" fontId="65" fillId="20" borderId="0" applyNumberFormat="0" applyBorder="0" applyAlignment="0" applyProtection="0"/>
    <xf numFmtId="0" fontId="65" fillId="20" borderId="0" applyNumberFormat="0" applyBorder="0" applyAlignment="0" applyProtection="0"/>
    <xf numFmtId="0" fontId="65" fillId="20" borderId="0" applyNumberFormat="0" applyBorder="0" applyAlignment="0" applyProtection="0"/>
    <xf numFmtId="0" fontId="65" fillId="20" borderId="0" applyNumberFormat="0" applyBorder="0" applyAlignment="0" applyProtection="0"/>
    <xf numFmtId="0" fontId="65" fillId="20" borderId="0" applyNumberFormat="0" applyBorder="0" applyAlignment="0" applyProtection="0"/>
    <xf numFmtId="0" fontId="65" fillId="20" borderId="0" applyNumberFormat="0" applyBorder="0" applyAlignment="0" applyProtection="0"/>
    <xf numFmtId="0" fontId="65" fillId="24" borderId="0" applyNumberFormat="0" applyBorder="0" applyAlignment="0" applyProtection="0"/>
    <xf numFmtId="0" fontId="65" fillId="24" borderId="0" applyNumberFormat="0" applyBorder="0" applyAlignment="0" applyProtection="0"/>
    <xf numFmtId="0" fontId="65" fillId="24" borderId="0" applyNumberFormat="0" applyBorder="0" applyAlignment="0" applyProtection="0"/>
    <xf numFmtId="0" fontId="65" fillId="24" borderId="0" applyNumberFormat="0" applyBorder="0" applyAlignment="0" applyProtection="0"/>
    <xf numFmtId="0" fontId="65" fillId="24" borderId="0" applyNumberFormat="0" applyBorder="0" applyAlignment="0" applyProtection="0"/>
    <xf numFmtId="0" fontId="65" fillId="24" borderId="0" applyNumberFormat="0" applyBorder="0" applyAlignment="0" applyProtection="0"/>
    <xf numFmtId="0" fontId="65" fillId="24" borderId="0" applyNumberFormat="0" applyBorder="0" applyAlignment="0" applyProtection="0"/>
    <xf numFmtId="0" fontId="65" fillId="24" borderId="0" applyNumberFormat="0" applyBorder="0" applyAlignment="0" applyProtection="0"/>
    <xf numFmtId="0" fontId="65" fillId="24" borderId="0" applyNumberFormat="0" applyBorder="0" applyAlignment="0" applyProtection="0"/>
    <xf numFmtId="0" fontId="65" fillId="24" borderId="0" applyNumberFormat="0" applyBorder="0" applyAlignment="0" applyProtection="0"/>
    <xf numFmtId="0" fontId="65" fillId="24" borderId="0" applyNumberFormat="0" applyBorder="0" applyAlignment="0" applyProtection="0"/>
    <xf numFmtId="0" fontId="65" fillId="24" borderId="0" applyNumberFormat="0" applyBorder="0" applyAlignment="0" applyProtection="0"/>
    <xf numFmtId="0" fontId="65" fillId="24" borderId="0" applyNumberFormat="0" applyBorder="0" applyAlignment="0" applyProtection="0"/>
    <xf numFmtId="0" fontId="65" fillId="24" borderId="0" applyNumberFormat="0" applyBorder="0" applyAlignment="0" applyProtection="0"/>
    <xf numFmtId="0" fontId="65" fillId="24" borderId="0" applyNumberFormat="0" applyBorder="0" applyAlignment="0" applyProtection="0"/>
    <xf numFmtId="0" fontId="65" fillId="24" borderId="0" applyNumberFormat="0" applyBorder="0" applyAlignment="0" applyProtection="0"/>
    <xf numFmtId="0" fontId="65" fillId="24" borderId="0" applyNumberFormat="0" applyBorder="0" applyAlignment="0" applyProtection="0"/>
    <xf numFmtId="0" fontId="65" fillId="24" borderId="0" applyNumberFormat="0" applyBorder="0" applyAlignment="0" applyProtection="0"/>
    <xf numFmtId="0" fontId="65" fillId="28" borderId="0" applyNumberFormat="0" applyBorder="0" applyAlignment="0" applyProtection="0"/>
    <xf numFmtId="0" fontId="65" fillId="28" borderId="0" applyNumberFormat="0" applyBorder="0" applyAlignment="0" applyProtection="0"/>
    <xf numFmtId="0" fontId="65" fillId="28" borderId="0" applyNumberFormat="0" applyBorder="0" applyAlignment="0" applyProtection="0"/>
    <xf numFmtId="0" fontId="65" fillId="28" borderId="0" applyNumberFormat="0" applyBorder="0" applyAlignment="0" applyProtection="0"/>
    <xf numFmtId="0" fontId="65" fillId="28" borderId="0" applyNumberFormat="0" applyBorder="0" applyAlignment="0" applyProtection="0"/>
    <xf numFmtId="0" fontId="65" fillId="28" borderId="0" applyNumberFormat="0" applyBorder="0" applyAlignment="0" applyProtection="0"/>
    <xf numFmtId="0" fontId="65" fillId="28" borderId="0" applyNumberFormat="0" applyBorder="0" applyAlignment="0" applyProtection="0"/>
    <xf numFmtId="0" fontId="65" fillId="28" borderId="0" applyNumberFormat="0" applyBorder="0" applyAlignment="0" applyProtection="0"/>
    <xf numFmtId="0" fontId="65" fillId="28" borderId="0" applyNumberFormat="0" applyBorder="0" applyAlignment="0" applyProtection="0"/>
    <xf numFmtId="0" fontId="65" fillId="28" borderId="0" applyNumberFormat="0" applyBorder="0" applyAlignment="0" applyProtection="0"/>
    <xf numFmtId="0" fontId="65" fillId="28" borderId="0" applyNumberFormat="0" applyBorder="0" applyAlignment="0" applyProtection="0"/>
    <xf numFmtId="0" fontId="65" fillId="28" borderId="0" applyNumberFormat="0" applyBorder="0" applyAlignment="0" applyProtection="0"/>
    <xf numFmtId="0" fontId="65" fillId="28" borderId="0" applyNumberFormat="0" applyBorder="0" applyAlignment="0" applyProtection="0"/>
    <xf numFmtId="0" fontId="65" fillId="28" borderId="0" applyNumberFormat="0" applyBorder="0" applyAlignment="0" applyProtection="0"/>
    <xf numFmtId="0" fontId="65" fillId="28" borderId="0" applyNumberFormat="0" applyBorder="0" applyAlignment="0" applyProtection="0"/>
    <xf numFmtId="0" fontId="65" fillId="28" borderId="0" applyNumberFormat="0" applyBorder="0" applyAlignment="0" applyProtection="0"/>
    <xf numFmtId="0" fontId="65" fillId="28" borderId="0" applyNumberFormat="0" applyBorder="0" applyAlignment="0" applyProtection="0"/>
    <xf numFmtId="0" fontId="65" fillId="28" borderId="0" applyNumberFormat="0" applyBorder="0" applyAlignment="0" applyProtection="0"/>
    <xf numFmtId="0" fontId="65" fillId="32" borderId="0" applyNumberFormat="0" applyBorder="0" applyAlignment="0" applyProtection="0"/>
    <xf numFmtId="0" fontId="65" fillId="32" borderId="0" applyNumberFormat="0" applyBorder="0" applyAlignment="0" applyProtection="0"/>
    <xf numFmtId="0" fontId="65" fillId="32" borderId="0" applyNumberFormat="0" applyBorder="0" applyAlignment="0" applyProtection="0"/>
    <xf numFmtId="0" fontId="65" fillId="32" borderId="0" applyNumberFormat="0" applyBorder="0" applyAlignment="0" applyProtection="0"/>
    <xf numFmtId="0" fontId="65" fillId="32" borderId="0" applyNumberFormat="0" applyBorder="0" applyAlignment="0" applyProtection="0"/>
    <xf numFmtId="0" fontId="65" fillId="32" borderId="0" applyNumberFormat="0" applyBorder="0" applyAlignment="0" applyProtection="0"/>
    <xf numFmtId="0" fontId="65" fillId="32" borderId="0" applyNumberFormat="0" applyBorder="0" applyAlignment="0" applyProtection="0"/>
    <xf numFmtId="0" fontId="65" fillId="32" borderId="0" applyNumberFormat="0" applyBorder="0" applyAlignment="0" applyProtection="0"/>
    <xf numFmtId="0" fontId="65" fillId="32" borderId="0" applyNumberFormat="0" applyBorder="0" applyAlignment="0" applyProtection="0"/>
    <xf numFmtId="0" fontId="65" fillId="32" borderId="0" applyNumberFormat="0" applyBorder="0" applyAlignment="0" applyProtection="0"/>
    <xf numFmtId="0" fontId="65" fillId="32" borderId="0" applyNumberFormat="0" applyBorder="0" applyAlignment="0" applyProtection="0"/>
    <xf numFmtId="0" fontId="65" fillId="32" borderId="0" applyNumberFormat="0" applyBorder="0" applyAlignment="0" applyProtection="0"/>
    <xf numFmtId="0" fontId="65" fillId="32" borderId="0" applyNumberFormat="0" applyBorder="0" applyAlignment="0" applyProtection="0"/>
    <xf numFmtId="0" fontId="65" fillId="32" borderId="0" applyNumberFormat="0" applyBorder="0" applyAlignment="0" applyProtection="0"/>
    <xf numFmtId="0" fontId="65" fillId="32" borderId="0" applyNumberFormat="0" applyBorder="0" applyAlignment="0" applyProtection="0"/>
    <xf numFmtId="0" fontId="65" fillId="32" borderId="0" applyNumberFormat="0" applyBorder="0" applyAlignment="0" applyProtection="0"/>
    <xf numFmtId="0" fontId="65" fillId="32" borderId="0" applyNumberFormat="0" applyBorder="0" applyAlignment="0" applyProtection="0"/>
    <xf numFmtId="0" fontId="65" fillId="32" borderId="0" applyNumberFormat="0" applyBorder="0" applyAlignment="0" applyProtection="0"/>
    <xf numFmtId="0" fontId="27" fillId="47" borderId="0" applyNumberFormat="0" applyBorder="0" applyAlignment="0" applyProtection="0"/>
    <xf numFmtId="0" fontId="48" fillId="47" borderId="0" applyNumberFormat="0" applyBorder="0" applyAlignment="0" applyProtection="0"/>
    <xf numFmtId="0" fontId="48" fillId="47" borderId="0" applyNumberFormat="0" applyBorder="0" applyAlignment="0" applyProtection="0"/>
    <xf numFmtId="0" fontId="48" fillId="47" borderId="0" applyNumberFormat="0" applyBorder="0" applyAlignment="0" applyProtection="0"/>
    <xf numFmtId="0" fontId="48" fillId="47" borderId="0" applyNumberFormat="0" applyBorder="0" applyAlignment="0" applyProtection="0"/>
    <xf numFmtId="0" fontId="27" fillId="48" borderId="0" applyNumberFormat="0" applyBorder="0" applyAlignment="0" applyProtection="0"/>
    <xf numFmtId="0" fontId="48" fillId="48" borderId="0" applyNumberFormat="0" applyBorder="0" applyAlignment="0" applyProtection="0"/>
    <xf numFmtId="0" fontId="48" fillId="48" borderId="0" applyNumberFormat="0" applyBorder="0" applyAlignment="0" applyProtection="0"/>
    <xf numFmtId="0" fontId="48" fillId="48" borderId="0" applyNumberFormat="0" applyBorder="0" applyAlignment="0" applyProtection="0"/>
    <xf numFmtId="0" fontId="48" fillId="48" borderId="0" applyNumberFormat="0" applyBorder="0" applyAlignment="0" applyProtection="0"/>
    <xf numFmtId="0" fontId="27" fillId="49" borderId="0" applyNumberFormat="0" applyBorder="0" applyAlignment="0" applyProtection="0"/>
    <xf numFmtId="0" fontId="48" fillId="49" borderId="0" applyNumberFormat="0" applyBorder="0" applyAlignment="0" applyProtection="0"/>
    <xf numFmtId="0" fontId="48" fillId="49" borderId="0" applyNumberFormat="0" applyBorder="0" applyAlignment="0" applyProtection="0"/>
    <xf numFmtId="0" fontId="48" fillId="49" borderId="0" applyNumberFormat="0" applyBorder="0" applyAlignment="0" applyProtection="0"/>
    <xf numFmtId="0" fontId="48" fillId="49" borderId="0" applyNumberFormat="0" applyBorder="0" applyAlignment="0" applyProtection="0"/>
    <xf numFmtId="0" fontId="27" fillId="44" borderId="0" applyNumberFormat="0" applyBorder="0" applyAlignment="0" applyProtection="0"/>
    <xf numFmtId="0" fontId="48" fillId="44" borderId="0" applyNumberFormat="0" applyBorder="0" applyAlignment="0" applyProtection="0"/>
    <xf numFmtId="0" fontId="48" fillId="44" borderId="0" applyNumberFormat="0" applyBorder="0" applyAlignment="0" applyProtection="0"/>
    <xf numFmtId="0" fontId="48" fillId="44" borderId="0" applyNumberFormat="0" applyBorder="0" applyAlignment="0" applyProtection="0"/>
    <xf numFmtId="0" fontId="48" fillId="44" borderId="0" applyNumberFormat="0" applyBorder="0" applyAlignment="0" applyProtection="0"/>
    <xf numFmtId="0" fontId="27" fillId="45" borderId="0" applyNumberFormat="0" applyBorder="0" applyAlignment="0" applyProtection="0"/>
    <xf numFmtId="0" fontId="48" fillId="45" borderId="0" applyNumberFormat="0" applyBorder="0" applyAlignment="0" applyProtection="0"/>
    <xf numFmtId="0" fontId="48" fillId="45" borderId="0" applyNumberFormat="0" applyBorder="0" applyAlignment="0" applyProtection="0"/>
    <xf numFmtId="0" fontId="48" fillId="45" borderId="0" applyNumberFormat="0" applyBorder="0" applyAlignment="0" applyProtection="0"/>
    <xf numFmtId="0" fontId="48" fillId="45" borderId="0" applyNumberFormat="0" applyBorder="0" applyAlignment="0" applyProtection="0"/>
    <xf numFmtId="0" fontId="27" fillId="50" borderId="0" applyNumberFormat="0" applyBorder="0" applyAlignment="0" applyProtection="0"/>
    <xf numFmtId="0" fontId="48" fillId="50" borderId="0" applyNumberFormat="0" applyBorder="0" applyAlignment="0" applyProtection="0"/>
    <xf numFmtId="0" fontId="48" fillId="50" borderId="0" applyNumberFormat="0" applyBorder="0" applyAlignment="0" applyProtection="0"/>
    <xf numFmtId="0" fontId="48" fillId="50" borderId="0" applyNumberFormat="0" applyBorder="0" applyAlignment="0" applyProtection="0"/>
    <xf numFmtId="0" fontId="48" fillId="50" borderId="0" applyNumberFormat="0" applyBorder="0" applyAlignment="0" applyProtection="0"/>
    <xf numFmtId="0" fontId="28" fillId="34" borderId="0" applyNumberFormat="0" applyBorder="0" applyAlignment="0" applyProtection="0"/>
    <xf numFmtId="0" fontId="49" fillId="34" borderId="0" applyNumberFormat="0" applyBorder="0" applyAlignment="0" applyProtection="0"/>
    <xf numFmtId="0" fontId="49" fillId="34" borderId="0" applyNumberFormat="0" applyBorder="0" applyAlignment="0" applyProtection="0"/>
    <xf numFmtId="0" fontId="49" fillId="34" borderId="0" applyNumberFormat="0" applyBorder="0" applyAlignment="0" applyProtection="0"/>
    <xf numFmtId="0" fontId="49" fillId="34" borderId="0" applyNumberFormat="0" applyBorder="0" applyAlignment="0" applyProtection="0"/>
    <xf numFmtId="0" fontId="29" fillId="51" borderId="12" applyNumberFormat="0" applyAlignment="0" applyProtection="0"/>
    <xf numFmtId="0" fontId="50" fillId="51" borderId="12" applyNumberFormat="0" applyAlignment="0" applyProtection="0"/>
    <xf numFmtId="0" fontId="50" fillId="51" borderId="12" applyNumberFormat="0" applyAlignment="0" applyProtection="0"/>
    <xf numFmtId="0" fontId="50" fillId="51" borderId="12" applyNumberFormat="0" applyAlignment="0" applyProtection="0"/>
    <xf numFmtId="0" fontId="50" fillId="51" borderId="12" applyNumberFormat="0" applyAlignment="0" applyProtection="0"/>
    <xf numFmtId="0" fontId="30" fillId="52" borderId="13" applyNumberFormat="0" applyAlignment="0" applyProtection="0"/>
    <xf numFmtId="0" fontId="51" fillId="52" borderId="13" applyNumberFormat="0" applyAlignment="0" applyProtection="0"/>
    <xf numFmtId="0" fontId="51" fillId="52" borderId="13" applyNumberFormat="0" applyAlignment="0" applyProtection="0"/>
    <xf numFmtId="0" fontId="51" fillId="52" borderId="13" applyNumberFormat="0" applyAlignment="0" applyProtection="0"/>
    <xf numFmtId="0" fontId="51" fillId="52" borderId="13" applyNumberFormat="0" applyAlignment="0" applyProtection="0"/>
    <xf numFmtId="41" fontId="18" fillId="0" borderId="0" applyFont="0" applyFill="0" applyBorder="0" applyAlignment="0" applyProtection="0"/>
    <xf numFmtId="179" fontId="17" fillId="0" borderId="0" applyFont="0" applyFill="0" applyBorder="0" applyAlignment="0" applyProtection="0"/>
    <xf numFmtId="189" fontId="18" fillId="0" borderId="0"/>
    <xf numFmtId="43" fontId="18" fillId="0" borderId="0" applyFont="0" applyFill="0" applyBorder="0" applyAlignment="0" applyProtection="0"/>
    <xf numFmtId="178" fontId="17" fillId="0" borderId="0" applyFont="0" applyFill="0" applyBorder="0" applyAlignment="0" applyProtection="0"/>
    <xf numFmtId="191" fontId="17" fillId="0" borderId="0" applyFont="0" applyFill="0" applyBorder="0" applyAlignment="0" applyProtection="0"/>
    <xf numFmtId="186" fontId="18" fillId="0" borderId="0"/>
    <xf numFmtId="183" fontId="17" fillId="0" borderId="0" applyFont="0" applyFill="0" applyBorder="0" applyAlignment="0" applyProtection="0"/>
    <xf numFmtId="185" fontId="17" fillId="0" borderId="0" applyFont="0" applyFill="0" applyBorder="0" applyAlignment="0" applyProtection="0"/>
    <xf numFmtId="188" fontId="18" fillId="0" borderId="0"/>
    <xf numFmtId="0" fontId="31" fillId="0" borderId="0" applyNumberFormat="0" applyFill="0" applyBorder="0" applyAlignment="0" applyProtection="0"/>
    <xf numFmtId="0" fontId="52" fillId="0" borderId="0" applyNumberFormat="0" applyFill="0" applyBorder="0" applyAlignment="0" applyProtection="0"/>
    <xf numFmtId="0" fontId="52" fillId="0" borderId="0" applyNumberFormat="0" applyFill="0" applyBorder="0" applyAlignment="0" applyProtection="0"/>
    <xf numFmtId="0" fontId="52" fillId="0" borderId="0" applyNumberFormat="0" applyFill="0" applyBorder="0" applyAlignment="0" applyProtection="0"/>
    <xf numFmtId="0" fontId="52" fillId="0" borderId="0" applyNumberFormat="0" applyFill="0" applyBorder="0" applyAlignment="0" applyProtection="0"/>
    <xf numFmtId="0" fontId="45" fillId="0" borderId="0" applyNumberFormat="0" applyFill="0" applyBorder="0" applyAlignment="0" applyProtection="0"/>
    <xf numFmtId="0" fontId="32" fillId="35" borderId="0" applyNumberFormat="0" applyBorder="0" applyAlignment="0" applyProtection="0"/>
    <xf numFmtId="0" fontId="53" fillId="35" borderId="0" applyNumberFormat="0" applyBorder="0" applyAlignment="0" applyProtection="0"/>
    <xf numFmtId="0" fontId="53" fillId="35" borderId="0" applyNumberFormat="0" applyBorder="0" applyAlignment="0" applyProtection="0"/>
    <xf numFmtId="0" fontId="53" fillId="35" borderId="0" applyNumberFormat="0" applyBorder="0" applyAlignment="0" applyProtection="0"/>
    <xf numFmtId="0" fontId="53" fillId="35" borderId="0" applyNumberFormat="0" applyBorder="0" applyAlignment="0" applyProtection="0"/>
    <xf numFmtId="38" fontId="21" fillId="53" borderId="0" applyNumberFormat="0" applyBorder="0" applyAlignment="0" applyProtection="0"/>
    <xf numFmtId="0" fontId="33" fillId="0" borderId="14" applyNumberFormat="0" applyFill="0" applyAlignment="0" applyProtection="0"/>
    <xf numFmtId="0" fontId="54" fillId="0" borderId="14" applyNumberFormat="0" applyFill="0" applyAlignment="0" applyProtection="0"/>
    <xf numFmtId="0" fontId="54" fillId="0" borderId="14" applyNumberFormat="0" applyFill="0" applyAlignment="0" applyProtection="0"/>
    <xf numFmtId="0" fontId="54" fillId="0" borderId="14" applyNumberFormat="0" applyFill="0" applyAlignment="0" applyProtection="0"/>
    <xf numFmtId="0" fontId="54" fillId="0" borderId="14" applyNumberFormat="0" applyFill="0" applyAlignment="0" applyProtection="0"/>
    <xf numFmtId="0" fontId="34" fillId="0" borderId="15" applyNumberFormat="0" applyFill="0" applyAlignment="0" applyProtection="0"/>
    <xf numFmtId="0" fontId="55" fillId="0" borderId="15" applyNumberFormat="0" applyFill="0" applyAlignment="0" applyProtection="0"/>
    <xf numFmtId="0" fontId="55" fillId="0" borderId="15" applyNumberFormat="0" applyFill="0" applyAlignment="0" applyProtection="0"/>
    <xf numFmtId="0" fontId="55" fillId="0" borderId="15" applyNumberFormat="0" applyFill="0" applyAlignment="0" applyProtection="0"/>
    <xf numFmtId="0" fontId="55" fillId="0" borderId="15" applyNumberFormat="0" applyFill="0" applyAlignment="0" applyProtection="0"/>
    <xf numFmtId="0" fontId="35" fillId="0" borderId="16" applyNumberFormat="0" applyFill="0" applyAlignment="0" applyProtection="0"/>
    <xf numFmtId="0" fontId="56" fillId="0" borderId="16" applyNumberFormat="0" applyFill="0" applyAlignment="0" applyProtection="0"/>
    <xf numFmtId="0" fontId="56" fillId="0" borderId="16" applyNumberFormat="0" applyFill="0" applyAlignment="0" applyProtection="0"/>
    <xf numFmtId="0" fontId="56" fillId="0" borderId="16" applyNumberFormat="0" applyFill="0" applyAlignment="0" applyProtection="0"/>
    <xf numFmtId="0" fontId="56" fillId="0" borderId="16" applyNumberFormat="0" applyFill="0" applyAlignment="0" applyProtection="0"/>
    <xf numFmtId="0" fontId="35" fillId="0" borderId="0" applyNumberFormat="0" applyFill="0" applyBorder="0" applyAlignment="0" applyProtection="0"/>
    <xf numFmtId="0" fontId="56" fillId="0" borderId="0" applyNumberFormat="0" applyFill="0" applyBorder="0" applyAlignment="0" applyProtection="0"/>
    <xf numFmtId="0" fontId="56" fillId="0" borderId="0" applyNumberFormat="0" applyFill="0" applyBorder="0" applyAlignment="0" applyProtection="0"/>
    <xf numFmtId="0" fontId="56" fillId="0" borderId="0" applyNumberFormat="0" applyFill="0" applyBorder="0" applyAlignment="0" applyProtection="0"/>
    <xf numFmtId="0" fontId="56" fillId="0" borderId="0" applyNumberFormat="0" applyFill="0" applyBorder="0" applyAlignment="0" applyProtection="0"/>
    <xf numFmtId="0" fontId="44" fillId="0" borderId="0" applyNumberFormat="0" applyFill="0" applyBorder="0" applyAlignment="0" applyProtection="0"/>
    <xf numFmtId="0" fontId="36" fillId="38" borderId="12" applyNumberFormat="0" applyAlignment="0" applyProtection="0"/>
    <xf numFmtId="10" fontId="21" fillId="54" borderId="1" applyNumberFormat="0" applyBorder="0" applyAlignment="0" applyProtection="0"/>
    <xf numFmtId="0" fontId="57" fillId="38" borderId="12" applyNumberFormat="0" applyAlignment="0" applyProtection="0"/>
    <xf numFmtId="0" fontId="57" fillId="38" borderId="12" applyNumberFormat="0" applyAlignment="0" applyProtection="0"/>
    <xf numFmtId="0" fontId="57" fillId="38" borderId="12" applyNumberFormat="0" applyAlignment="0" applyProtection="0"/>
    <xf numFmtId="0" fontId="57" fillId="38" borderId="12" applyNumberFormat="0" applyAlignment="0" applyProtection="0"/>
    <xf numFmtId="0" fontId="22" fillId="0" borderId="0"/>
    <xf numFmtId="0" fontId="37" fillId="0" borderId="17" applyNumberFormat="0" applyFill="0" applyAlignment="0" applyProtection="0"/>
    <xf numFmtId="0" fontId="58" fillId="0" borderId="17" applyNumberFormat="0" applyFill="0" applyAlignment="0" applyProtection="0"/>
    <xf numFmtId="0" fontId="58" fillId="0" borderId="17" applyNumberFormat="0" applyFill="0" applyAlignment="0" applyProtection="0"/>
    <xf numFmtId="0" fontId="58" fillId="0" borderId="17" applyNumberFormat="0" applyFill="0" applyAlignment="0" applyProtection="0"/>
    <xf numFmtId="0" fontId="58" fillId="0" borderId="17" applyNumberFormat="0" applyFill="0" applyAlignment="0" applyProtection="0"/>
    <xf numFmtId="41" fontId="17" fillId="0" borderId="0" applyFont="0" applyFill="0" applyBorder="0" applyAlignment="0" applyProtection="0"/>
    <xf numFmtId="43" fontId="17" fillId="0" borderId="0" applyFont="0" applyFill="0" applyBorder="0" applyAlignment="0" applyProtection="0"/>
    <xf numFmtId="0" fontId="17" fillId="0" borderId="0" applyFont="0" applyFill="0" applyBorder="0" applyAlignment="0" applyProtection="0"/>
    <xf numFmtId="0" fontId="17" fillId="0" borderId="0" applyFont="0" applyFill="0" applyBorder="0" applyAlignment="0" applyProtection="0"/>
    <xf numFmtId="0" fontId="38" fillId="55" borderId="0" applyNumberFormat="0" applyBorder="0" applyAlignment="0" applyProtection="0"/>
    <xf numFmtId="0" fontId="59" fillId="55" borderId="0" applyNumberFormat="0" applyBorder="0" applyAlignment="0" applyProtection="0"/>
    <xf numFmtId="0" fontId="59" fillId="55" borderId="0" applyNumberFormat="0" applyBorder="0" applyAlignment="0" applyProtection="0"/>
    <xf numFmtId="0" fontId="59" fillId="55" borderId="0" applyNumberFormat="0" applyBorder="0" applyAlignment="0" applyProtection="0"/>
    <xf numFmtId="0" fontId="59" fillId="55" borderId="0" applyNumberFormat="0" applyBorder="0" applyAlignment="0" applyProtection="0"/>
    <xf numFmtId="187" fontId="18" fillId="0" borderId="0"/>
    <xf numFmtId="0" fontId="24" fillId="0" borderId="0"/>
    <xf numFmtId="0" fontId="17" fillId="0" borderId="0"/>
    <xf numFmtId="0" fontId="17" fillId="0" borderId="0"/>
    <xf numFmtId="0" fontId="17" fillId="0" borderId="0"/>
    <xf numFmtId="0" fontId="17" fillId="0" borderId="0"/>
    <xf numFmtId="0" fontId="17" fillId="0" borderId="0"/>
    <xf numFmtId="0" fontId="17" fillId="0" borderId="0"/>
    <xf numFmtId="0" fontId="20" fillId="0" borderId="0"/>
    <xf numFmtId="0" fontId="17" fillId="56" borderId="18" applyNumberFormat="0" applyFont="0" applyAlignment="0" applyProtection="0"/>
    <xf numFmtId="0" fontId="17" fillId="56" borderId="18" applyNumberFormat="0" applyFont="0" applyAlignment="0" applyProtection="0"/>
    <xf numFmtId="0" fontId="17" fillId="56" borderId="18" applyNumberFormat="0" applyFont="0" applyAlignment="0" applyProtection="0"/>
    <xf numFmtId="0" fontId="17" fillId="56" borderId="18" applyNumberFormat="0" applyFont="0" applyAlignment="0" applyProtection="0"/>
    <xf numFmtId="0" fontId="17" fillId="56" borderId="18" applyNumberFormat="0" applyFont="0" applyAlignment="0" applyProtection="0"/>
    <xf numFmtId="0" fontId="17" fillId="56" borderId="18" applyNumberFormat="0" applyFont="0" applyAlignment="0" applyProtection="0"/>
    <xf numFmtId="0" fontId="17" fillId="56" borderId="18" applyNumberFormat="0" applyFont="0" applyAlignment="0" applyProtection="0"/>
    <xf numFmtId="0" fontId="17" fillId="56" borderId="18" applyNumberFormat="0" applyFont="0" applyAlignment="0" applyProtection="0"/>
    <xf numFmtId="0" fontId="17" fillId="56" borderId="18" applyNumberFormat="0" applyFont="0" applyAlignment="0" applyProtection="0"/>
    <xf numFmtId="0" fontId="39" fillId="51" borderId="19" applyNumberFormat="0" applyAlignment="0" applyProtection="0"/>
    <xf numFmtId="0" fontId="60" fillId="51" borderId="19" applyNumberFormat="0" applyAlignment="0" applyProtection="0"/>
    <xf numFmtId="0" fontId="60" fillId="51" borderId="19" applyNumberFormat="0" applyAlignment="0" applyProtection="0"/>
    <xf numFmtId="0" fontId="60" fillId="51" borderId="19" applyNumberFormat="0" applyAlignment="0" applyProtection="0"/>
    <xf numFmtId="0" fontId="60" fillId="51" borderId="19" applyNumberFormat="0" applyAlignment="0" applyProtection="0"/>
    <xf numFmtId="10" fontId="17" fillId="0" borderId="0" applyFont="0" applyFill="0" applyBorder="0" applyAlignment="0" applyProtection="0"/>
    <xf numFmtId="10" fontId="17" fillId="0" borderId="0" applyFont="0" applyFill="0" applyBorder="0" applyAlignment="0" applyProtection="0"/>
    <xf numFmtId="10" fontId="17" fillId="0" borderId="0" applyFont="0" applyFill="0" applyBorder="0" applyAlignment="0" applyProtection="0"/>
    <xf numFmtId="10" fontId="17" fillId="0" borderId="0" applyFont="0" applyFill="0" applyBorder="0" applyAlignment="0" applyProtection="0"/>
    <xf numFmtId="10" fontId="17" fillId="0" borderId="0" applyFont="0" applyFill="0" applyBorder="0" applyAlignment="0" applyProtection="0"/>
    <xf numFmtId="10" fontId="17" fillId="0" borderId="0" applyFont="0" applyFill="0" applyBorder="0" applyAlignment="0" applyProtection="0"/>
    <xf numFmtId="10" fontId="17" fillId="0" borderId="0" applyFont="0" applyFill="0" applyBorder="0" applyAlignment="0" applyProtection="0"/>
    <xf numFmtId="10" fontId="17" fillId="0" borderId="0" applyFont="0" applyFill="0" applyBorder="0" applyAlignment="0" applyProtection="0"/>
    <xf numFmtId="10" fontId="17" fillId="0" borderId="0" applyFont="0" applyFill="0" applyBorder="0" applyAlignment="0" applyProtection="0"/>
    <xf numFmtId="9" fontId="17" fillId="0" borderId="0" applyFont="0" applyFill="0" applyBorder="0" applyAlignment="0" applyProtection="0"/>
    <xf numFmtId="190" fontId="17" fillId="0" borderId="0" applyFont="0" applyFill="0" applyBorder="0" applyAlignment="0" applyProtection="0"/>
    <xf numFmtId="4" fontId="16" fillId="57" borderId="20" applyNumberFormat="0" applyProtection="0">
      <alignment horizontal="left" vertical="center" indent="1"/>
    </xf>
    <xf numFmtId="0" fontId="17" fillId="0" borderId="0"/>
    <xf numFmtId="0" fontId="20" fillId="0" borderId="0"/>
    <xf numFmtId="0" fontId="40" fillId="0" borderId="0" applyNumberFormat="0" applyFill="0" applyBorder="0" applyAlignment="0" applyProtection="0"/>
    <xf numFmtId="0" fontId="61" fillId="0" borderId="0" applyNumberFormat="0" applyFill="0" applyBorder="0" applyAlignment="0" applyProtection="0"/>
    <xf numFmtId="0" fontId="61" fillId="0" borderId="0" applyNumberFormat="0" applyFill="0" applyBorder="0" applyAlignment="0" applyProtection="0"/>
    <xf numFmtId="0" fontId="61" fillId="0" borderId="0" applyNumberFormat="0" applyFill="0" applyBorder="0" applyAlignment="0" applyProtection="0"/>
    <xf numFmtId="0" fontId="61" fillId="0" borderId="0" applyNumberFormat="0" applyFill="0" applyBorder="0" applyAlignment="0" applyProtection="0"/>
    <xf numFmtId="0" fontId="41" fillId="0" borderId="21" applyNumberFormat="0" applyFill="0" applyAlignment="0" applyProtection="0"/>
    <xf numFmtId="0" fontId="62" fillId="0" borderId="21" applyNumberFormat="0" applyFill="0" applyAlignment="0" applyProtection="0"/>
    <xf numFmtId="0" fontId="62" fillId="0" borderId="21" applyNumberFormat="0" applyFill="0" applyAlignment="0" applyProtection="0"/>
    <xf numFmtId="0" fontId="62" fillId="0" borderId="21" applyNumberFormat="0" applyFill="0" applyAlignment="0" applyProtection="0"/>
    <xf numFmtId="0" fontId="62" fillId="0" borderId="21" applyNumberFormat="0" applyFill="0" applyAlignment="0" applyProtection="0"/>
    <xf numFmtId="182" fontId="17" fillId="0" borderId="0" applyFont="0" applyFill="0" applyBorder="0" applyAlignment="0" applyProtection="0"/>
    <xf numFmtId="184" fontId="17" fillId="0" borderId="0" applyFont="0" applyFill="0" applyBorder="0" applyAlignment="0" applyProtection="0"/>
    <xf numFmtId="0" fontId="42" fillId="0" borderId="0" applyNumberFormat="0" applyFill="0" applyBorder="0" applyAlignment="0" applyProtection="0"/>
    <xf numFmtId="0" fontId="63" fillId="0" borderId="0" applyNumberFormat="0" applyFill="0" applyBorder="0" applyAlignment="0" applyProtection="0"/>
    <xf numFmtId="0" fontId="63" fillId="0" borderId="0" applyNumberFormat="0" applyFill="0" applyBorder="0" applyAlignment="0" applyProtection="0"/>
    <xf numFmtId="0" fontId="63" fillId="0" borderId="0" applyNumberFormat="0" applyFill="0" applyBorder="0" applyAlignment="0" applyProtection="0"/>
    <xf numFmtId="0" fontId="63" fillId="0" borderId="0" applyNumberFormat="0" applyFill="0" applyBorder="0" applyAlignment="0" applyProtection="0"/>
    <xf numFmtId="0" fontId="65" fillId="9" borderId="0" applyNumberFormat="0" applyBorder="0" applyAlignment="0" applyProtection="0"/>
    <xf numFmtId="0" fontId="65" fillId="9" borderId="0" applyNumberFormat="0" applyBorder="0" applyAlignment="0" applyProtection="0"/>
    <xf numFmtId="0" fontId="65" fillId="9" borderId="0" applyNumberFormat="0" applyBorder="0" applyAlignment="0" applyProtection="0"/>
    <xf numFmtId="0" fontId="65" fillId="9" borderId="0" applyNumberFormat="0" applyBorder="0" applyAlignment="0" applyProtection="0"/>
    <xf numFmtId="0" fontId="65" fillId="9" borderId="0" applyNumberFormat="0" applyBorder="0" applyAlignment="0" applyProtection="0"/>
    <xf numFmtId="0" fontId="65" fillId="9" borderId="0" applyNumberFormat="0" applyBorder="0" applyAlignment="0" applyProtection="0"/>
    <xf numFmtId="0" fontId="65" fillId="9" borderId="0" applyNumberFormat="0" applyBorder="0" applyAlignment="0" applyProtection="0"/>
    <xf numFmtId="0" fontId="65" fillId="9" borderId="0" applyNumberFormat="0" applyBorder="0" applyAlignment="0" applyProtection="0"/>
    <xf numFmtId="0" fontId="65" fillId="9" borderId="0" applyNumberFormat="0" applyBorder="0" applyAlignment="0" applyProtection="0"/>
    <xf numFmtId="0" fontId="65" fillId="9" borderId="0" applyNumberFormat="0" applyBorder="0" applyAlignment="0" applyProtection="0"/>
    <xf numFmtId="0" fontId="65" fillId="9" borderId="0" applyNumberFormat="0" applyBorder="0" applyAlignment="0" applyProtection="0"/>
    <xf numFmtId="0" fontId="65" fillId="9" borderId="0" applyNumberFormat="0" applyBorder="0" applyAlignment="0" applyProtection="0"/>
    <xf numFmtId="0" fontId="65" fillId="9" borderId="0" applyNumberFormat="0" applyBorder="0" applyAlignment="0" applyProtection="0"/>
    <xf numFmtId="0" fontId="65" fillId="9" borderId="0" applyNumberFormat="0" applyBorder="0" applyAlignment="0" applyProtection="0"/>
    <xf numFmtId="0" fontId="65" fillId="9" borderId="0" applyNumberFormat="0" applyBorder="0" applyAlignment="0" applyProtection="0"/>
    <xf numFmtId="0" fontId="65" fillId="9" borderId="0" applyNumberFormat="0" applyBorder="0" applyAlignment="0" applyProtection="0"/>
    <xf numFmtId="0" fontId="65" fillId="9" borderId="0" applyNumberFormat="0" applyBorder="0" applyAlignment="0" applyProtection="0"/>
    <xf numFmtId="0" fontId="65" fillId="9" borderId="0" applyNumberFormat="0" applyBorder="0" applyAlignment="0" applyProtection="0"/>
    <xf numFmtId="0" fontId="65" fillId="13" borderId="0" applyNumberFormat="0" applyBorder="0" applyAlignment="0" applyProtection="0"/>
    <xf numFmtId="0" fontId="65" fillId="13" borderId="0" applyNumberFormat="0" applyBorder="0" applyAlignment="0" applyProtection="0"/>
    <xf numFmtId="0" fontId="65" fillId="13" borderId="0" applyNumberFormat="0" applyBorder="0" applyAlignment="0" applyProtection="0"/>
    <xf numFmtId="0" fontId="65" fillId="13" borderId="0" applyNumberFormat="0" applyBorder="0" applyAlignment="0" applyProtection="0"/>
    <xf numFmtId="0" fontId="65" fillId="13" borderId="0" applyNumberFormat="0" applyBorder="0" applyAlignment="0" applyProtection="0"/>
    <xf numFmtId="0" fontId="65" fillId="13" borderId="0" applyNumberFormat="0" applyBorder="0" applyAlignment="0" applyProtection="0"/>
    <xf numFmtId="0" fontId="65" fillId="13" borderId="0" applyNumberFormat="0" applyBorder="0" applyAlignment="0" applyProtection="0"/>
    <xf numFmtId="0" fontId="65" fillId="13" borderId="0" applyNumberFormat="0" applyBorder="0" applyAlignment="0" applyProtection="0"/>
    <xf numFmtId="0" fontId="65" fillId="13" borderId="0" applyNumberFormat="0" applyBorder="0" applyAlignment="0" applyProtection="0"/>
    <xf numFmtId="0" fontId="65" fillId="13" borderId="0" applyNumberFormat="0" applyBorder="0" applyAlignment="0" applyProtection="0"/>
    <xf numFmtId="0" fontId="65" fillId="13" borderId="0" applyNumberFormat="0" applyBorder="0" applyAlignment="0" applyProtection="0"/>
    <xf numFmtId="0" fontId="65" fillId="13" borderId="0" applyNumberFormat="0" applyBorder="0" applyAlignment="0" applyProtection="0"/>
    <xf numFmtId="0" fontId="65" fillId="13" borderId="0" applyNumberFormat="0" applyBorder="0" applyAlignment="0" applyProtection="0"/>
    <xf numFmtId="0" fontId="65" fillId="13" borderId="0" applyNumberFormat="0" applyBorder="0" applyAlignment="0" applyProtection="0"/>
    <xf numFmtId="0" fontId="65" fillId="13" borderId="0" applyNumberFormat="0" applyBorder="0" applyAlignment="0" applyProtection="0"/>
    <xf numFmtId="0" fontId="65" fillId="13" borderId="0" applyNumberFormat="0" applyBorder="0" applyAlignment="0" applyProtection="0"/>
    <xf numFmtId="0" fontId="65" fillId="13" borderId="0" applyNumberFormat="0" applyBorder="0" applyAlignment="0" applyProtection="0"/>
    <xf numFmtId="0" fontId="65" fillId="13" borderId="0" applyNumberFormat="0" applyBorder="0" applyAlignment="0" applyProtection="0"/>
    <xf numFmtId="0" fontId="65" fillId="17" borderId="0" applyNumberFormat="0" applyBorder="0" applyAlignment="0" applyProtection="0"/>
    <xf numFmtId="0" fontId="65" fillId="17" borderId="0" applyNumberFormat="0" applyBorder="0" applyAlignment="0" applyProtection="0"/>
    <xf numFmtId="0" fontId="65" fillId="17" borderId="0" applyNumberFormat="0" applyBorder="0" applyAlignment="0" applyProtection="0"/>
    <xf numFmtId="0" fontId="65" fillId="17" borderId="0" applyNumberFormat="0" applyBorder="0" applyAlignment="0" applyProtection="0"/>
    <xf numFmtId="0" fontId="65" fillId="17" borderId="0" applyNumberFormat="0" applyBorder="0" applyAlignment="0" applyProtection="0"/>
    <xf numFmtId="0" fontId="65" fillId="17" borderId="0" applyNumberFormat="0" applyBorder="0" applyAlignment="0" applyProtection="0"/>
    <xf numFmtId="0" fontId="65" fillId="17" borderId="0" applyNumberFormat="0" applyBorder="0" applyAlignment="0" applyProtection="0"/>
    <xf numFmtId="0" fontId="65" fillId="17" borderId="0" applyNumberFormat="0" applyBorder="0" applyAlignment="0" applyProtection="0"/>
    <xf numFmtId="0" fontId="65" fillId="17" borderId="0" applyNumberFormat="0" applyBorder="0" applyAlignment="0" applyProtection="0"/>
    <xf numFmtId="0" fontId="65" fillId="17" borderId="0" applyNumberFormat="0" applyBorder="0" applyAlignment="0" applyProtection="0"/>
    <xf numFmtId="0" fontId="65" fillId="17" borderId="0" applyNumberFormat="0" applyBorder="0" applyAlignment="0" applyProtection="0"/>
    <xf numFmtId="0" fontId="65" fillId="17" borderId="0" applyNumberFormat="0" applyBorder="0" applyAlignment="0" applyProtection="0"/>
    <xf numFmtId="0" fontId="65" fillId="17" borderId="0" applyNumberFormat="0" applyBorder="0" applyAlignment="0" applyProtection="0"/>
    <xf numFmtId="0" fontId="65" fillId="17" borderId="0" applyNumberFormat="0" applyBorder="0" applyAlignment="0" applyProtection="0"/>
    <xf numFmtId="0" fontId="65" fillId="17" borderId="0" applyNumberFormat="0" applyBorder="0" applyAlignment="0" applyProtection="0"/>
    <xf numFmtId="0" fontId="65" fillId="17" borderId="0" applyNumberFormat="0" applyBorder="0" applyAlignment="0" applyProtection="0"/>
    <xf numFmtId="0" fontId="65" fillId="17" borderId="0" applyNumberFormat="0" applyBorder="0" applyAlignment="0" applyProtection="0"/>
    <xf numFmtId="0" fontId="65" fillId="17" borderId="0" applyNumberFormat="0" applyBorder="0" applyAlignment="0" applyProtection="0"/>
    <xf numFmtId="0" fontId="65" fillId="21" borderId="0" applyNumberFormat="0" applyBorder="0" applyAlignment="0" applyProtection="0"/>
    <xf numFmtId="0" fontId="65" fillId="21" borderId="0" applyNumberFormat="0" applyBorder="0" applyAlignment="0" applyProtection="0"/>
    <xf numFmtId="0" fontId="65" fillId="21" borderId="0" applyNumberFormat="0" applyBorder="0" applyAlignment="0" applyProtection="0"/>
    <xf numFmtId="0" fontId="65" fillId="21" borderId="0" applyNumberFormat="0" applyBorder="0" applyAlignment="0" applyProtection="0"/>
    <xf numFmtId="0" fontId="65" fillId="21" borderId="0" applyNumberFormat="0" applyBorder="0" applyAlignment="0" applyProtection="0"/>
    <xf numFmtId="0" fontId="65" fillId="21" borderId="0" applyNumberFormat="0" applyBorder="0" applyAlignment="0" applyProtection="0"/>
    <xf numFmtId="0" fontId="65" fillId="21" borderId="0" applyNumberFormat="0" applyBorder="0" applyAlignment="0" applyProtection="0"/>
    <xf numFmtId="0" fontId="65" fillId="21" borderId="0" applyNumberFormat="0" applyBorder="0" applyAlignment="0" applyProtection="0"/>
    <xf numFmtId="0" fontId="65" fillId="21" borderId="0" applyNumberFormat="0" applyBorder="0" applyAlignment="0" applyProtection="0"/>
    <xf numFmtId="0" fontId="65" fillId="21" borderId="0" applyNumberFormat="0" applyBorder="0" applyAlignment="0" applyProtection="0"/>
    <xf numFmtId="0" fontId="65" fillId="21" borderId="0" applyNumberFormat="0" applyBorder="0" applyAlignment="0" applyProtection="0"/>
    <xf numFmtId="0" fontId="65" fillId="21" borderId="0" applyNumberFormat="0" applyBorder="0" applyAlignment="0" applyProtection="0"/>
    <xf numFmtId="0" fontId="65" fillId="21" borderId="0" applyNumberFormat="0" applyBorder="0" applyAlignment="0" applyProtection="0"/>
    <xf numFmtId="0" fontId="65" fillId="21" borderId="0" applyNumberFormat="0" applyBorder="0" applyAlignment="0" applyProtection="0"/>
    <xf numFmtId="0" fontId="65" fillId="21" borderId="0" applyNumberFormat="0" applyBorder="0" applyAlignment="0" applyProtection="0"/>
    <xf numFmtId="0" fontId="65" fillId="21" borderId="0" applyNumberFormat="0" applyBorder="0" applyAlignment="0" applyProtection="0"/>
    <xf numFmtId="0" fontId="65" fillId="21" borderId="0" applyNumberFormat="0" applyBorder="0" applyAlignment="0" applyProtection="0"/>
    <xf numFmtId="0" fontId="65" fillId="21" borderId="0" applyNumberFormat="0" applyBorder="0" applyAlignment="0" applyProtection="0"/>
    <xf numFmtId="0" fontId="65" fillId="25" borderId="0" applyNumberFormat="0" applyBorder="0" applyAlignment="0" applyProtection="0"/>
    <xf numFmtId="0" fontId="65" fillId="25" borderId="0" applyNumberFormat="0" applyBorder="0" applyAlignment="0" applyProtection="0"/>
    <xf numFmtId="0" fontId="65" fillId="25" borderId="0" applyNumberFormat="0" applyBorder="0" applyAlignment="0" applyProtection="0"/>
    <xf numFmtId="0" fontId="65" fillId="25" borderId="0" applyNumberFormat="0" applyBorder="0" applyAlignment="0" applyProtection="0"/>
    <xf numFmtId="0" fontId="65" fillId="25" borderId="0" applyNumberFormat="0" applyBorder="0" applyAlignment="0" applyProtection="0"/>
    <xf numFmtId="0" fontId="65" fillId="25" borderId="0" applyNumberFormat="0" applyBorder="0" applyAlignment="0" applyProtection="0"/>
    <xf numFmtId="0" fontId="65" fillId="25" borderId="0" applyNumberFormat="0" applyBorder="0" applyAlignment="0" applyProtection="0"/>
    <xf numFmtId="0" fontId="65" fillId="25" borderId="0" applyNumberFormat="0" applyBorder="0" applyAlignment="0" applyProtection="0"/>
    <xf numFmtId="0" fontId="65" fillId="25" borderId="0" applyNumberFormat="0" applyBorder="0" applyAlignment="0" applyProtection="0"/>
    <xf numFmtId="0" fontId="65" fillId="25" borderId="0" applyNumberFormat="0" applyBorder="0" applyAlignment="0" applyProtection="0"/>
    <xf numFmtId="0" fontId="65" fillId="25" borderId="0" applyNumberFormat="0" applyBorder="0" applyAlignment="0" applyProtection="0"/>
    <xf numFmtId="0" fontId="65" fillId="25" borderId="0" applyNumberFormat="0" applyBorder="0" applyAlignment="0" applyProtection="0"/>
    <xf numFmtId="0" fontId="65" fillId="25" borderId="0" applyNumberFormat="0" applyBorder="0" applyAlignment="0" applyProtection="0"/>
    <xf numFmtId="0" fontId="65" fillId="25" borderId="0" applyNumberFormat="0" applyBorder="0" applyAlignment="0" applyProtection="0"/>
    <xf numFmtId="0" fontId="65" fillId="25" borderId="0" applyNumberFormat="0" applyBorder="0" applyAlignment="0" applyProtection="0"/>
    <xf numFmtId="0" fontId="65" fillId="25" borderId="0" applyNumberFormat="0" applyBorder="0" applyAlignment="0" applyProtection="0"/>
    <xf numFmtId="0" fontId="65" fillId="25" borderId="0" applyNumberFormat="0" applyBorder="0" applyAlignment="0" applyProtection="0"/>
    <xf numFmtId="0" fontId="65" fillId="25" borderId="0" applyNumberFormat="0" applyBorder="0" applyAlignment="0" applyProtection="0"/>
    <xf numFmtId="0" fontId="65" fillId="29" borderId="0" applyNumberFormat="0" applyBorder="0" applyAlignment="0" applyProtection="0"/>
    <xf numFmtId="0" fontId="65" fillId="29" borderId="0" applyNumberFormat="0" applyBorder="0" applyAlignment="0" applyProtection="0"/>
    <xf numFmtId="0" fontId="65" fillId="29" borderId="0" applyNumberFormat="0" applyBorder="0" applyAlignment="0" applyProtection="0"/>
    <xf numFmtId="0" fontId="65" fillId="29" borderId="0" applyNumberFormat="0" applyBorder="0" applyAlignment="0" applyProtection="0"/>
    <xf numFmtId="0" fontId="65" fillId="29" borderId="0" applyNumberFormat="0" applyBorder="0" applyAlignment="0" applyProtection="0"/>
    <xf numFmtId="0" fontId="65" fillId="29" borderId="0" applyNumberFormat="0" applyBorder="0" applyAlignment="0" applyProtection="0"/>
    <xf numFmtId="0" fontId="65" fillId="29" borderId="0" applyNumberFormat="0" applyBorder="0" applyAlignment="0" applyProtection="0"/>
    <xf numFmtId="0" fontId="65" fillId="29" borderId="0" applyNumberFormat="0" applyBorder="0" applyAlignment="0" applyProtection="0"/>
    <xf numFmtId="0" fontId="65" fillId="29" borderId="0" applyNumberFormat="0" applyBorder="0" applyAlignment="0" applyProtection="0"/>
    <xf numFmtId="0" fontId="65" fillId="29" borderId="0" applyNumberFormat="0" applyBorder="0" applyAlignment="0" applyProtection="0"/>
    <xf numFmtId="0" fontId="65" fillId="29" borderId="0" applyNumberFormat="0" applyBorder="0" applyAlignment="0" applyProtection="0"/>
    <xf numFmtId="0" fontId="65" fillId="29" borderId="0" applyNumberFormat="0" applyBorder="0" applyAlignment="0" applyProtection="0"/>
    <xf numFmtId="0" fontId="65" fillId="29" borderId="0" applyNumberFormat="0" applyBorder="0" applyAlignment="0" applyProtection="0"/>
    <xf numFmtId="0" fontId="65" fillId="29" borderId="0" applyNumberFormat="0" applyBorder="0" applyAlignment="0" applyProtection="0"/>
    <xf numFmtId="0" fontId="65" fillId="29" borderId="0" applyNumberFormat="0" applyBorder="0" applyAlignment="0" applyProtection="0"/>
    <xf numFmtId="0" fontId="65" fillId="29" borderId="0" applyNumberFormat="0" applyBorder="0" applyAlignment="0" applyProtection="0"/>
    <xf numFmtId="0" fontId="65" fillId="29" borderId="0" applyNumberFormat="0" applyBorder="0" applyAlignment="0" applyProtection="0"/>
    <xf numFmtId="0" fontId="65" fillId="29" borderId="0" applyNumberFormat="0" applyBorder="0" applyAlignment="0" applyProtection="0"/>
    <xf numFmtId="0" fontId="66" fillId="0" borderId="0" applyNumberFormat="0" applyFill="0" applyBorder="0" applyAlignment="0" applyProtection="0"/>
    <xf numFmtId="0" fontId="66" fillId="0" borderId="0" applyNumberFormat="0" applyFill="0" applyBorder="0" applyAlignment="0" applyProtection="0"/>
    <xf numFmtId="0" fontId="66" fillId="0" borderId="0" applyNumberFormat="0" applyFill="0" applyBorder="0" applyAlignment="0" applyProtection="0"/>
    <xf numFmtId="0" fontId="66" fillId="0" borderId="0" applyNumberFormat="0" applyFill="0" applyBorder="0" applyAlignment="0" applyProtection="0"/>
    <xf numFmtId="0" fontId="66" fillId="0" borderId="0" applyNumberFormat="0" applyFill="0" applyBorder="0" applyAlignment="0" applyProtection="0"/>
    <xf numFmtId="0" fontId="66" fillId="0" borderId="0" applyNumberFormat="0" applyFill="0" applyBorder="0" applyAlignment="0" applyProtection="0"/>
    <xf numFmtId="0" fontId="66" fillId="0" borderId="0" applyNumberFormat="0" applyFill="0" applyBorder="0" applyAlignment="0" applyProtection="0"/>
    <xf numFmtId="0" fontId="66" fillId="0" borderId="0" applyNumberFormat="0" applyFill="0" applyBorder="0" applyAlignment="0" applyProtection="0"/>
    <xf numFmtId="0" fontId="66" fillId="0" borderId="0" applyNumberFormat="0" applyFill="0" applyBorder="0" applyAlignment="0" applyProtection="0"/>
    <xf numFmtId="0" fontId="66" fillId="0" borderId="0" applyNumberFormat="0" applyFill="0" applyBorder="0" applyAlignment="0" applyProtection="0"/>
    <xf numFmtId="0" fontId="66" fillId="0" borderId="0" applyNumberFormat="0" applyFill="0" applyBorder="0" applyAlignment="0" applyProtection="0"/>
    <xf numFmtId="0" fontId="66" fillId="0" borderId="0" applyNumberFormat="0" applyFill="0" applyBorder="0" applyAlignment="0" applyProtection="0"/>
    <xf numFmtId="0" fontId="66" fillId="0" borderId="0" applyNumberFormat="0" applyFill="0" applyBorder="0" applyAlignment="0" applyProtection="0"/>
    <xf numFmtId="0" fontId="66" fillId="0" borderId="0" applyNumberFormat="0" applyFill="0" applyBorder="0" applyAlignment="0" applyProtection="0"/>
    <xf numFmtId="0" fontId="66" fillId="0" borderId="0" applyNumberFormat="0" applyFill="0" applyBorder="0" applyAlignment="0" applyProtection="0"/>
    <xf numFmtId="0" fontId="66" fillId="0" borderId="0" applyNumberFormat="0" applyFill="0" applyBorder="0" applyAlignment="0" applyProtection="0"/>
    <xf numFmtId="0" fontId="66" fillId="0" borderId="0" applyNumberFormat="0" applyFill="0" applyBorder="0" applyAlignment="0" applyProtection="0"/>
    <xf numFmtId="0" fontId="66" fillId="0" borderId="0" applyNumberFormat="0" applyFill="0" applyBorder="0" applyAlignment="0" applyProtection="0"/>
    <xf numFmtId="0" fontId="67" fillId="6" borderId="5" applyNumberFormat="0" applyAlignment="0" applyProtection="0"/>
    <xf numFmtId="0" fontId="67" fillId="6" borderId="5" applyNumberFormat="0" applyAlignment="0" applyProtection="0"/>
    <xf numFmtId="0" fontId="67" fillId="6" borderId="5" applyNumberFormat="0" applyAlignment="0" applyProtection="0"/>
    <xf numFmtId="0" fontId="67" fillId="6" borderId="5" applyNumberFormat="0" applyAlignment="0" applyProtection="0"/>
    <xf numFmtId="0" fontId="67" fillId="6" borderId="5" applyNumberFormat="0" applyAlignment="0" applyProtection="0"/>
    <xf numFmtId="0" fontId="67" fillId="6" borderId="5" applyNumberFormat="0" applyAlignment="0" applyProtection="0"/>
    <xf numFmtId="0" fontId="67" fillId="6" borderId="5" applyNumberFormat="0" applyAlignment="0" applyProtection="0"/>
    <xf numFmtId="0" fontId="67" fillId="6" borderId="5" applyNumberFormat="0" applyAlignment="0" applyProtection="0"/>
    <xf numFmtId="0" fontId="67" fillId="6" borderId="5" applyNumberFormat="0" applyAlignment="0" applyProtection="0"/>
    <xf numFmtId="0" fontId="67" fillId="6" borderId="5" applyNumberFormat="0" applyAlignment="0" applyProtection="0"/>
    <xf numFmtId="0" fontId="67" fillId="6" borderId="5" applyNumberFormat="0" applyAlignment="0" applyProtection="0"/>
    <xf numFmtId="0" fontId="67" fillId="6" borderId="5" applyNumberFormat="0" applyAlignment="0" applyProtection="0"/>
    <xf numFmtId="0" fontId="67" fillId="6" borderId="5" applyNumberFormat="0" applyAlignment="0" applyProtection="0"/>
    <xf numFmtId="0" fontId="67" fillId="6" borderId="5" applyNumberFormat="0" applyAlignment="0" applyProtection="0"/>
    <xf numFmtId="0" fontId="67" fillId="6" borderId="5" applyNumberFormat="0" applyAlignment="0" applyProtection="0"/>
    <xf numFmtId="0" fontId="67" fillId="6" borderId="5" applyNumberFormat="0" applyAlignment="0" applyProtection="0"/>
    <xf numFmtId="0" fontId="67" fillId="6" borderId="5" applyNumberFormat="0" applyAlignment="0" applyProtection="0"/>
    <xf numFmtId="0" fontId="67" fillId="6" borderId="5" applyNumberFormat="0" applyAlignment="0" applyProtection="0"/>
    <xf numFmtId="0" fontId="68" fillId="3" borderId="0" applyNumberFormat="0" applyBorder="0" applyAlignment="0" applyProtection="0"/>
    <xf numFmtId="0" fontId="68" fillId="3" borderId="0" applyNumberFormat="0" applyBorder="0" applyAlignment="0" applyProtection="0"/>
    <xf numFmtId="0" fontId="68" fillId="3" borderId="0" applyNumberFormat="0" applyBorder="0" applyAlignment="0" applyProtection="0"/>
    <xf numFmtId="0" fontId="68" fillId="3" borderId="0" applyNumberFormat="0" applyBorder="0" applyAlignment="0" applyProtection="0"/>
    <xf numFmtId="0" fontId="68" fillId="3" borderId="0" applyNumberFormat="0" applyBorder="0" applyAlignment="0" applyProtection="0"/>
    <xf numFmtId="0" fontId="68" fillId="3" borderId="0" applyNumberFormat="0" applyBorder="0" applyAlignment="0" applyProtection="0"/>
    <xf numFmtId="0" fontId="68" fillId="3" borderId="0" applyNumberFormat="0" applyBorder="0" applyAlignment="0" applyProtection="0"/>
    <xf numFmtId="0" fontId="68" fillId="3" borderId="0" applyNumberFormat="0" applyBorder="0" applyAlignment="0" applyProtection="0"/>
    <xf numFmtId="0" fontId="68" fillId="3" borderId="0" applyNumberFormat="0" applyBorder="0" applyAlignment="0" applyProtection="0"/>
    <xf numFmtId="0" fontId="68" fillId="3" borderId="0" applyNumberFormat="0" applyBorder="0" applyAlignment="0" applyProtection="0"/>
    <xf numFmtId="0" fontId="68" fillId="3" borderId="0" applyNumberFormat="0" applyBorder="0" applyAlignment="0" applyProtection="0"/>
    <xf numFmtId="0" fontId="68" fillId="3" borderId="0" applyNumberFormat="0" applyBorder="0" applyAlignment="0" applyProtection="0"/>
    <xf numFmtId="0" fontId="68" fillId="3" borderId="0" applyNumberFormat="0" applyBorder="0" applyAlignment="0" applyProtection="0"/>
    <xf numFmtId="0" fontId="68" fillId="3" borderId="0" applyNumberFormat="0" applyBorder="0" applyAlignment="0" applyProtection="0"/>
    <xf numFmtId="0" fontId="68" fillId="3" borderId="0" applyNumberFormat="0" applyBorder="0" applyAlignment="0" applyProtection="0"/>
    <xf numFmtId="0" fontId="68" fillId="3" borderId="0" applyNumberFormat="0" applyBorder="0" applyAlignment="0" applyProtection="0"/>
    <xf numFmtId="0" fontId="68" fillId="3" borderId="0" applyNumberFormat="0" applyBorder="0" applyAlignment="0" applyProtection="0"/>
    <xf numFmtId="0" fontId="68" fillId="3" borderId="0" applyNumberFormat="0" applyBorder="0" applyAlignment="0" applyProtection="0"/>
    <xf numFmtId="0" fontId="26" fillId="8" borderId="9" applyNumberFormat="0" applyFont="0" applyAlignment="0" applyProtection="0"/>
    <xf numFmtId="0" fontId="26" fillId="8" borderId="9" applyNumberFormat="0" applyFont="0" applyAlignment="0" applyProtection="0"/>
    <xf numFmtId="0" fontId="26" fillId="8" borderId="9" applyNumberFormat="0" applyFont="0" applyAlignment="0" applyProtection="0"/>
    <xf numFmtId="0" fontId="26" fillId="8" borderId="9" applyNumberFormat="0" applyFont="0" applyAlignment="0" applyProtection="0"/>
    <xf numFmtId="0" fontId="26" fillId="8" borderId="9" applyNumberFormat="0" applyFont="0" applyAlignment="0" applyProtection="0"/>
    <xf numFmtId="0" fontId="26" fillId="8" borderId="9" applyNumberFormat="0" applyFont="0" applyAlignment="0" applyProtection="0"/>
    <xf numFmtId="0" fontId="26" fillId="8" borderId="9" applyNumberFormat="0" applyFont="0" applyAlignment="0" applyProtection="0"/>
    <xf numFmtId="9" fontId="17" fillId="0" borderId="0" applyFont="0" applyFill="0" applyBorder="0" applyAlignment="0" applyProtection="0"/>
    <xf numFmtId="9" fontId="18"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8"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8" fillId="0" borderId="0" applyFont="0" applyFill="0" applyBorder="0" applyAlignment="0" applyProtection="0"/>
    <xf numFmtId="9" fontId="17"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8" fillId="0" borderId="0" applyFont="0" applyFill="0" applyBorder="0" applyAlignment="0" applyProtection="0">
      <alignment vertical="center"/>
    </xf>
    <xf numFmtId="0" fontId="69" fillId="4" borderId="0" applyNumberFormat="0" applyBorder="0" applyAlignment="0" applyProtection="0"/>
    <xf numFmtId="0" fontId="69" fillId="4" borderId="0" applyNumberFormat="0" applyBorder="0" applyAlignment="0" applyProtection="0"/>
    <xf numFmtId="0" fontId="69" fillId="4" borderId="0" applyNumberFormat="0" applyBorder="0" applyAlignment="0" applyProtection="0"/>
    <xf numFmtId="0" fontId="69" fillId="4" borderId="0" applyNumberFormat="0" applyBorder="0" applyAlignment="0" applyProtection="0"/>
    <xf numFmtId="0" fontId="69" fillId="4" borderId="0" applyNumberFormat="0" applyBorder="0" applyAlignment="0" applyProtection="0"/>
    <xf numFmtId="0" fontId="69" fillId="4" borderId="0" applyNumberFormat="0" applyBorder="0" applyAlignment="0" applyProtection="0"/>
    <xf numFmtId="0" fontId="69" fillId="4" borderId="0" applyNumberFormat="0" applyBorder="0" applyAlignment="0" applyProtection="0"/>
    <xf numFmtId="0" fontId="69" fillId="4" borderId="0" applyNumberFormat="0" applyBorder="0" applyAlignment="0" applyProtection="0"/>
    <xf numFmtId="0" fontId="69" fillId="4" borderId="0" applyNumberFormat="0" applyBorder="0" applyAlignment="0" applyProtection="0"/>
    <xf numFmtId="0" fontId="69" fillId="4" borderId="0" applyNumberFormat="0" applyBorder="0" applyAlignment="0" applyProtection="0"/>
    <xf numFmtId="0" fontId="69" fillId="4" borderId="0" applyNumberFormat="0" applyBorder="0" applyAlignment="0" applyProtection="0"/>
    <xf numFmtId="0" fontId="69" fillId="4" borderId="0" applyNumberFormat="0" applyBorder="0" applyAlignment="0" applyProtection="0"/>
    <xf numFmtId="0" fontId="69" fillId="4" borderId="0" applyNumberFormat="0" applyBorder="0" applyAlignment="0" applyProtection="0"/>
    <xf numFmtId="0" fontId="69" fillId="4" borderId="0" applyNumberFormat="0" applyBorder="0" applyAlignment="0" applyProtection="0"/>
    <xf numFmtId="0" fontId="69" fillId="4" borderId="0" applyNumberFormat="0" applyBorder="0" applyAlignment="0" applyProtection="0"/>
    <xf numFmtId="0" fontId="69" fillId="4" borderId="0" applyNumberFormat="0" applyBorder="0" applyAlignment="0" applyProtection="0"/>
    <xf numFmtId="0" fontId="69" fillId="4" borderId="0" applyNumberFormat="0" applyBorder="0" applyAlignment="0" applyProtection="0"/>
    <xf numFmtId="0" fontId="69" fillId="4" borderId="0" applyNumberFormat="0" applyBorder="0" applyAlignment="0" applyProtection="0"/>
    <xf numFmtId="0" fontId="43" fillId="0" borderId="0">
      <alignment vertical="center"/>
    </xf>
    <xf numFmtId="0" fontId="70" fillId="0" borderId="0" applyNumberFormat="0" applyFill="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71" fillId="7" borderId="8" applyNumberFormat="0" applyAlignment="0" applyProtection="0"/>
    <xf numFmtId="0" fontId="71" fillId="7" borderId="8" applyNumberFormat="0" applyAlignment="0" applyProtection="0"/>
    <xf numFmtId="0" fontId="71" fillId="7" borderId="8" applyNumberFormat="0" applyAlignment="0" applyProtection="0"/>
    <xf numFmtId="0" fontId="71" fillId="7" borderId="8" applyNumberFormat="0" applyAlignment="0" applyProtection="0"/>
    <xf numFmtId="0" fontId="71" fillId="7" borderId="8" applyNumberFormat="0" applyAlignment="0" applyProtection="0"/>
    <xf numFmtId="0" fontId="71" fillId="7" borderId="8" applyNumberFormat="0" applyAlignment="0" applyProtection="0"/>
    <xf numFmtId="0" fontId="71" fillId="7" borderId="8" applyNumberFormat="0" applyAlignment="0" applyProtection="0"/>
    <xf numFmtId="0" fontId="71" fillId="7" borderId="8" applyNumberFormat="0" applyAlignment="0" applyProtection="0"/>
    <xf numFmtId="0" fontId="71" fillId="7" borderId="8" applyNumberFormat="0" applyAlignment="0" applyProtection="0"/>
    <xf numFmtId="0" fontId="71" fillId="7" borderId="8" applyNumberFormat="0" applyAlignment="0" applyProtection="0"/>
    <xf numFmtId="0" fontId="71" fillId="7" borderId="8" applyNumberFormat="0" applyAlignment="0" applyProtection="0"/>
    <xf numFmtId="0" fontId="71" fillId="7" borderId="8" applyNumberFormat="0" applyAlignment="0" applyProtection="0"/>
    <xf numFmtId="0" fontId="71" fillId="7" borderId="8" applyNumberFormat="0" applyAlignment="0" applyProtection="0"/>
    <xf numFmtId="0" fontId="71" fillId="7" borderId="8" applyNumberFormat="0" applyAlignment="0" applyProtection="0"/>
    <xf numFmtId="0" fontId="71" fillId="7" borderId="8" applyNumberFormat="0" applyAlignment="0" applyProtection="0"/>
    <xf numFmtId="0" fontId="71" fillId="7" borderId="8" applyNumberFormat="0" applyAlignment="0" applyProtection="0"/>
    <xf numFmtId="0" fontId="71" fillId="7" borderId="8" applyNumberFormat="0" applyAlignment="0" applyProtection="0"/>
    <xf numFmtId="0" fontId="71" fillId="7" borderId="8" applyNumberFormat="0" applyAlignment="0" applyProtection="0"/>
    <xf numFmtId="41" fontId="18" fillId="0" borderId="0" applyFont="0" applyFill="0" applyBorder="0" applyAlignment="0" applyProtection="0"/>
    <xf numFmtId="183" fontId="18" fillId="0" borderId="0" applyFont="0" applyFill="0" applyBorder="0" applyAlignment="0" applyProtection="0">
      <alignment vertical="center"/>
    </xf>
    <xf numFmtId="183" fontId="18" fillId="0" borderId="0" applyFont="0" applyFill="0" applyBorder="0" applyAlignment="0" applyProtection="0">
      <alignment vertical="center"/>
    </xf>
    <xf numFmtId="183" fontId="18" fillId="0" borderId="0" applyFont="0" applyFill="0" applyBorder="0" applyAlignment="0" applyProtection="0">
      <alignment vertical="center"/>
    </xf>
    <xf numFmtId="183" fontId="18" fillId="0" borderId="0" applyFont="0" applyFill="0" applyBorder="0" applyAlignment="0" applyProtection="0">
      <alignment vertical="center"/>
    </xf>
    <xf numFmtId="183" fontId="18" fillId="0" borderId="0" applyFont="0" applyFill="0" applyBorder="0" applyAlignment="0" applyProtection="0">
      <alignment vertical="center"/>
    </xf>
    <xf numFmtId="41" fontId="18" fillId="0" borderId="0" applyFont="0" applyFill="0" applyBorder="0" applyAlignment="0" applyProtection="0">
      <alignment vertical="center"/>
    </xf>
    <xf numFmtId="41" fontId="18" fillId="0" borderId="0" applyFont="0" applyFill="0" applyBorder="0" applyAlignment="0" applyProtection="0">
      <alignment vertical="center"/>
    </xf>
    <xf numFmtId="41" fontId="18" fillId="0" borderId="0" applyFont="0" applyFill="0" applyBorder="0" applyAlignment="0" applyProtection="0">
      <alignment vertical="center"/>
    </xf>
    <xf numFmtId="183" fontId="18" fillId="0" borderId="0" applyFont="0" applyFill="0" applyBorder="0" applyAlignment="0" applyProtection="0">
      <alignment vertical="center"/>
    </xf>
    <xf numFmtId="177" fontId="17" fillId="0" borderId="0" applyFont="0" applyFill="0" applyBorder="0" applyAlignment="0" applyProtection="0"/>
    <xf numFmtId="177" fontId="17" fillId="0" borderId="0" applyFont="0" applyFill="0" applyBorder="0" applyAlignment="0" applyProtection="0"/>
    <xf numFmtId="177" fontId="17" fillId="0" borderId="0" applyFont="0" applyFill="0" applyBorder="0" applyAlignment="0" applyProtection="0"/>
    <xf numFmtId="177" fontId="17" fillId="0" borderId="0" applyFont="0" applyFill="0" applyBorder="0" applyAlignment="0" applyProtection="0"/>
    <xf numFmtId="177" fontId="17" fillId="0" borderId="0" applyFont="0" applyFill="0" applyBorder="0" applyAlignment="0" applyProtection="0"/>
    <xf numFmtId="183" fontId="18" fillId="0" borderId="0" applyFont="0" applyFill="0" applyBorder="0" applyAlignment="0" applyProtection="0">
      <alignment vertical="center"/>
    </xf>
    <xf numFmtId="183" fontId="18" fillId="0" borderId="0" applyFont="0" applyFill="0" applyBorder="0" applyAlignment="0" applyProtection="0">
      <alignment vertical="center"/>
    </xf>
    <xf numFmtId="183" fontId="18" fillId="0" borderId="0" applyFont="0" applyFill="0" applyBorder="0" applyAlignment="0" applyProtection="0">
      <alignment vertical="center"/>
    </xf>
    <xf numFmtId="183" fontId="18" fillId="0" borderId="0" applyFont="0" applyFill="0" applyBorder="0" applyAlignment="0" applyProtection="0">
      <alignment vertical="center"/>
    </xf>
    <xf numFmtId="183" fontId="18" fillId="0" borderId="0" applyFont="0" applyFill="0" applyBorder="0" applyAlignment="0" applyProtection="0">
      <alignment vertical="center"/>
    </xf>
    <xf numFmtId="177" fontId="17" fillId="0" borderId="0" applyFont="0" applyFill="0" applyBorder="0" applyAlignment="0" applyProtection="0"/>
    <xf numFmtId="177" fontId="17" fillId="0" borderId="0" applyFont="0" applyFill="0" applyBorder="0" applyAlignment="0" applyProtection="0"/>
    <xf numFmtId="177" fontId="17" fillId="0" borderId="0" applyFont="0" applyFill="0" applyBorder="0" applyAlignment="0" applyProtection="0"/>
    <xf numFmtId="177" fontId="17" fillId="0" borderId="0" applyFont="0" applyFill="0" applyBorder="0" applyAlignment="0" applyProtection="0"/>
    <xf numFmtId="183" fontId="18" fillId="0" borderId="0" applyFont="0" applyFill="0" applyBorder="0" applyAlignment="0" applyProtection="0">
      <alignment vertical="center"/>
    </xf>
    <xf numFmtId="183" fontId="18" fillId="0" borderId="0" applyFont="0" applyFill="0" applyBorder="0" applyAlignment="0" applyProtection="0">
      <alignment vertical="center"/>
    </xf>
    <xf numFmtId="183" fontId="18" fillId="0" borderId="0" applyFont="0" applyFill="0" applyBorder="0" applyAlignment="0" applyProtection="0">
      <alignment vertical="center"/>
    </xf>
    <xf numFmtId="183" fontId="18" fillId="0" borderId="0" applyFont="0" applyFill="0" applyBorder="0" applyAlignment="0" applyProtection="0">
      <alignment vertical="center"/>
    </xf>
    <xf numFmtId="183" fontId="18" fillId="0" borderId="0" applyFont="0" applyFill="0" applyBorder="0" applyAlignment="0" applyProtection="0">
      <alignment vertical="center"/>
    </xf>
    <xf numFmtId="183" fontId="18" fillId="0" borderId="0" applyFont="0" applyFill="0" applyBorder="0" applyAlignment="0" applyProtection="0">
      <alignment vertical="center"/>
    </xf>
    <xf numFmtId="183" fontId="18" fillId="0" borderId="0" applyFont="0" applyFill="0" applyBorder="0" applyAlignment="0" applyProtection="0">
      <alignment vertical="center"/>
    </xf>
    <xf numFmtId="183" fontId="18" fillId="0" borderId="0" applyFont="0" applyFill="0" applyBorder="0" applyAlignment="0" applyProtection="0">
      <alignment vertical="center"/>
    </xf>
    <xf numFmtId="183" fontId="18" fillId="0" borderId="0" applyFont="0" applyFill="0" applyBorder="0" applyAlignment="0" applyProtection="0">
      <alignment vertical="center"/>
    </xf>
    <xf numFmtId="183" fontId="18" fillId="0" borderId="0" applyFont="0" applyFill="0" applyBorder="0" applyAlignment="0" applyProtection="0">
      <alignment vertical="center"/>
    </xf>
    <xf numFmtId="183" fontId="18" fillId="0" borderId="0" applyFont="0" applyFill="0" applyBorder="0" applyAlignment="0" applyProtection="0">
      <alignment vertical="center"/>
    </xf>
    <xf numFmtId="177" fontId="17" fillId="0" borderId="0" applyFont="0" applyFill="0" applyBorder="0" applyAlignment="0" applyProtection="0"/>
    <xf numFmtId="177" fontId="17" fillId="0" borderId="0" applyFont="0" applyFill="0" applyBorder="0" applyAlignment="0" applyProtection="0"/>
    <xf numFmtId="177" fontId="17" fillId="0" borderId="0" applyFont="0" applyFill="0" applyBorder="0" applyAlignment="0" applyProtection="0"/>
    <xf numFmtId="177" fontId="17" fillId="0" borderId="0" applyFont="0" applyFill="0" applyBorder="0" applyAlignment="0" applyProtection="0"/>
    <xf numFmtId="177" fontId="17" fillId="0" borderId="0" applyFont="0" applyFill="0" applyBorder="0" applyAlignment="0" applyProtection="0"/>
    <xf numFmtId="177" fontId="17" fillId="0" borderId="0" applyFont="0" applyFill="0" applyBorder="0" applyAlignment="0" applyProtection="0"/>
    <xf numFmtId="177" fontId="17" fillId="0" borderId="0" applyFont="0" applyFill="0" applyBorder="0" applyAlignment="0" applyProtection="0"/>
    <xf numFmtId="183" fontId="18" fillId="0" borderId="0" applyFont="0" applyFill="0" applyBorder="0" applyAlignment="0" applyProtection="0">
      <alignment vertical="center"/>
    </xf>
    <xf numFmtId="183" fontId="18" fillId="0" borderId="0" applyFont="0" applyFill="0" applyBorder="0" applyAlignment="0" applyProtection="0">
      <alignment vertical="center"/>
    </xf>
    <xf numFmtId="183" fontId="18" fillId="0" borderId="0" applyFont="0" applyFill="0" applyBorder="0" applyAlignment="0" applyProtection="0">
      <alignment vertical="center"/>
    </xf>
    <xf numFmtId="183" fontId="18" fillId="0" borderId="0" applyFont="0" applyFill="0" applyBorder="0" applyAlignment="0" applyProtection="0">
      <alignment vertical="center"/>
    </xf>
    <xf numFmtId="183" fontId="18" fillId="0" borderId="0" applyFont="0" applyFill="0" applyBorder="0" applyAlignment="0" applyProtection="0">
      <alignment vertical="center"/>
    </xf>
    <xf numFmtId="183" fontId="18" fillId="0" borderId="0" applyFont="0" applyFill="0" applyBorder="0" applyAlignment="0" applyProtection="0">
      <alignment vertical="center"/>
    </xf>
    <xf numFmtId="183" fontId="18" fillId="0" borderId="0" applyFont="0" applyFill="0" applyBorder="0" applyAlignment="0" applyProtection="0">
      <alignment vertical="center"/>
    </xf>
    <xf numFmtId="183" fontId="18" fillId="0" borderId="0" applyFont="0" applyFill="0" applyBorder="0" applyAlignment="0" applyProtection="0">
      <alignment vertical="center"/>
    </xf>
    <xf numFmtId="177" fontId="17" fillId="0" borderId="0" applyFont="0" applyFill="0" applyBorder="0" applyAlignment="0" applyProtection="0"/>
    <xf numFmtId="177" fontId="17" fillId="0" borderId="0" applyFont="0" applyFill="0" applyBorder="0" applyAlignment="0" applyProtection="0"/>
    <xf numFmtId="177" fontId="17" fillId="0" borderId="0" applyFont="0" applyFill="0" applyBorder="0" applyAlignment="0" applyProtection="0"/>
    <xf numFmtId="177" fontId="17" fillId="0" borderId="0" applyFont="0" applyFill="0" applyBorder="0" applyAlignment="0" applyProtection="0"/>
    <xf numFmtId="177" fontId="17" fillId="0" borderId="0" applyFont="0" applyFill="0" applyBorder="0" applyAlignment="0" applyProtection="0"/>
    <xf numFmtId="177" fontId="17" fillId="0" borderId="0" applyFont="0" applyFill="0" applyBorder="0" applyAlignment="0" applyProtection="0"/>
    <xf numFmtId="177" fontId="17" fillId="0" borderId="0" applyFont="0" applyFill="0" applyBorder="0" applyAlignment="0" applyProtection="0"/>
    <xf numFmtId="177" fontId="17" fillId="0" borderId="0" applyFont="0" applyFill="0" applyBorder="0" applyAlignment="0" applyProtection="0"/>
    <xf numFmtId="183" fontId="18" fillId="0" borderId="0" applyFont="0" applyFill="0" applyBorder="0" applyAlignment="0" applyProtection="0">
      <alignment vertical="center"/>
    </xf>
    <xf numFmtId="183" fontId="18" fillId="0" borderId="0" applyFont="0" applyFill="0" applyBorder="0" applyAlignment="0" applyProtection="0">
      <alignment vertical="center"/>
    </xf>
    <xf numFmtId="183" fontId="18" fillId="0" borderId="0" applyFont="0" applyFill="0" applyBorder="0" applyAlignment="0" applyProtection="0">
      <alignment vertical="center"/>
    </xf>
    <xf numFmtId="41" fontId="18" fillId="0" borderId="0" applyFont="0" applyFill="0" applyBorder="0" applyAlignment="0" applyProtection="0">
      <alignment vertical="center"/>
    </xf>
    <xf numFmtId="183" fontId="18" fillId="0" borderId="0" applyFont="0" applyFill="0" applyBorder="0" applyAlignment="0" applyProtection="0">
      <alignment vertical="center"/>
    </xf>
    <xf numFmtId="183" fontId="18" fillId="0" borderId="0" applyFont="0" applyFill="0" applyBorder="0" applyAlignment="0" applyProtection="0">
      <alignment vertical="center"/>
    </xf>
    <xf numFmtId="183" fontId="18" fillId="0" borderId="0" applyFont="0" applyFill="0" applyBorder="0" applyAlignment="0" applyProtection="0">
      <alignment vertical="center"/>
    </xf>
    <xf numFmtId="183" fontId="18" fillId="0" borderId="0" applyFont="0" applyFill="0" applyBorder="0" applyAlignment="0" applyProtection="0">
      <alignment vertical="center"/>
    </xf>
    <xf numFmtId="177" fontId="17" fillId="0" borderId="0" applyFont="0" applyFill="0" applyBorder="0" applyAlignment="0" applyProtection="0"/>
    <xf numFmtId="177" fontId="46" fillId="0" borderId="0" applyFont="0" applyFill="0" applyBorder="0" applyAlignment="0" applyProtection="0"/>
    <xf numFmtId="177" fontId="46" fillId="0" borderId="0" applyFont="0" applyFill="0" applyBorder="0" applyAlignment="0" applyProtection="0"/>
    <xf numFmtId="177" fontId="46" fillId="0" borderId="0" applyFont="0" applyFill="0" applyBorder="0" applyAlignment="0" applyProtection="0"/>
    <xf numFmtId="177" fontId="46" fillId="0" borderId="0" applyFont="0" applyFill="0" applyBorder="0" applyAlignment="0" applyProtection="0"/>
    <xf numFmtId="41" fontId="18" fillId="0" borderId="0" applyFont="0" applyFill="0" applyBorder="0" applyAlignment="0" applyProtection="0"/>
    <xf numFmtId="41" fontId="18" fillId="0" borderId="0" applyFont="0" applyFill="0" applyBorder="0" applyAlignment="0" applyProtection="0"/>
    <xf numFmtId="41" fontId="18" fillId="0" borderId="0" applyFont="0" applyFill="0" applyBorder="0" applyAlignment="0" applyProtection="0"/>
    <xf numFmtId="41" fontId="18" fillId="0" borderId="0" applyFont="0" applyFill="0" applyBorder="0" applyAlignment="0" applyProtection="0"/>
    <xf numFmtId="179" fontId="17" fillId="0" borderId="0" applyFont="0" applyFill="0" applyBorder="0" applyAlignment="0" applyProtection="0"/>
    <xf numFmtId="179" fontId="17" fillId="0" borderId="0" applyFont="0" applyFill="0" applyBorder="0" applyAlignment="0" applyProtection="0"/>
    <xf numFmtId="179" fontId="17" fillId="0" borderId="0" applyFont="0" applyFill="0" applyBorder="0" applyAlignment="0" applyProtection="0"/>
    <xf numFmtId="179" fontId="17" fillId="0" borderId="0" applyFont="0" applyFill="0" applyBorder="0" applyAlignment="0" applyProtection="0"/>
    <xf numFmtId="179" fontId="17" fillId="0" borderId="0" applyFont="0" applyFill="0" applyBorder="0" applyAlignment="0" applyProtection="0"/>
    <xf numFmtId="179" fontId="17" fillId="0" borderId="0" applyFont="0" applyFill="0" applyBorder="0" applyAlignment="0" applyProtection="0"/>
    <xf numFmtId="179" fontId="17" fillId="0" borderId="0" applyFont="0" applyFill="0" applyBorder="0" applyAlignment="0" applyProtection="0"/>
    <xf numFmtId="179" fontId="17" fillId="0" borderId="0" applyFont="0" applyFill="0" applyBorder="0" applyAlignment="0" applyProtection="0"/>
    <xf numFmtId="179" fontId="17" fillId="0" borderId="0" applyFont="0" applyFill="0" applyBorder="0" applyAlignment="0" applyProtection="0"/>
    <xf numFmtId="179" fontId="17" fillId="0" borderId="0" applyFont="0" applyFill="0" applyBorder="0" applyAlignment="0" applyProtection="0"/>
    <xf numFmtId="179" fontId="17" fillId="0" borderId="0" applyFont="0" applyFill="0" applyBorder="0" applyAlignment="0" applyProtection="0"/>
    <xf numFmtId="179" fontId="17" fillId="0" borderId="0" applyFont="0" applyFill="0" applyBorder="0" applyAlignment="0" applyProtection="0"/>
    <xf numFmtId="179" fontId="17" fillId="0" borderId="0" applyFont="0" applyFill="0" applyBorder="0" applyAlignment="0" applyProtection="0"/>
    <xf numFmtId="179" fontId="17" fillId="0" borderId="0" applyFont="0" applyFill="0" applyBorder="0" applyAlignment="0" applyProtection="0"/>
    <xf numFmtId="179" fontId="17" fillId="0" borderId="0" applyFont="0" applyFill="0" applyBorder="0" applyAlignment="0" applyProtection="0"/>
    <xf numFmtId="179" fontId="17" fillId="0" borderId="0" applyFont="0" applyFill="0" applyBorder="0" applyAlignment="0" applyProtection="0"/>
    <xf numFmtId="179" fontId="17" fillId="0" borderId="0" applyFont="0" applyFill="0" applyBorder="0" applyAlignment="0" applyProtection="0"/>
    <xf numFmtId="179" fontId="17" fillId="0" borderId="0" applyFont="0" applyFill="0" applyBorder="0" applyAlignment="0" applyProtection="0"/>
    <xf numFmtId="179" fontId="17" fillId="0" borderId="0" applyFont="0" applyFill="0" applyBorder="0" applyAlignment="0" applyProtection="0"/>
    <xf numFmtId="179" fontId="17" fillId="0" borderId="0" applyFont="0" applyFill="0" applyBorder="0" applyAlignment="0" applyProtection="0"/>
    <xf numFmtId="179" fontId="17" fillId="0" borderId="0" applyFont="0" applyFill="0" applyBorder="0" applyAlignment="0" applyProtection="0"/>
    <xf numFmtId="179" fontId="17" fillId="0" borderId="0" applyFont="0" applyFill="0" applyBorder="0" applyAlignment="0" applyProtection="0"/>
    <xf numFmtId="179" fontId="17" fillId="0" borderId="0" applyFont="0" applyFill="0" applyBorder="0" applyAlignment="0" applyProtection="0"/>
    <xf numFmtId="179" fontId="17" fillId="0" borderId="0" applyFont="0" applyFill="0" applyBorder="0" applyAlignment="0" applyProtection="0"/>
    <xf numFmtId="179" fontId="17" fillId="0" borderId="0" applyFont="0" applyFill="0" applyBorder="0" applyAlignment="0" applyProtection="0"/>
    <xf numFmtId="179" fontId="17" fillId="0" borderId="0" applyFont="0" applyFill="0" applyBorder="0" applyAlignment="0" applyProtection="0"/>
    <xf numFmtId="179" fontId="17" fillId="0" borderId="0" applyFont="0" applyFill="0" applyBorder="0" applyAlignment="0" applyProtection="0"/>
    <xf numFmtId="179" fontId="17" fillId="0" borderId="0" applyFont="0" applyFill="0" applyBorder="0" applyAlignment="0" applyProtection="0"/>
    <xf numFmtId="179" fontId="17" fillId="0" borderId="0" applyFont="0" applyFill="0" applyBorder="0" applyAlignment="0" applyProtection="0"/>
    <xf numFmtId="179" fontId="17" fillId="0" borderId="0" applyFont="0" applyFill="0" applyBorder="0" applyAlignment="0" applyProtection="0"/>
    <xf numFmtId="179" fontId="17" fillId="0" borderId="0" applyFont="0" applyFill="0" applyBorder="0" applyAlignment="0" applyProtection="0"/>
    <xf numFmtId="179" fontId="17" fillId="0" borderId="0" applyFont="0" applyFill="0" applyBorder="0" applyAlignment="0" applyProtection="0"/>
    <xf numFmtId="179" fontId="17" fillId="0" borderId="0" applyFont="0" applyFill="0" applyBorder="0" applyAlignment="0" applyProtection="0"/>
    <xf numFmtId="179" fontId="17" fillId="0" borderId="0" applyFont="0" applyFill="0" applyBorder="0" applyAlignment="0" applyProtection="0"/>
    <xf numFmtId="179" fontId="17" fillId="0" borderId="0" applyFont="0" applyFill="0" applyBorder="0" applyAlignment="0" applyProtection="0"/>
    <xf numFmtId="179" fontId="17" fillId="0" borderId="0" applyFont="0" applyFill="0" applyBorder="0" applyAlignment="0" applyProtection="0"/>
    <xf numFmtId="179" fontId="17" fillId="0" borderId="0" applyFont="0" applyFill="0" applyBorder="0" applyAlignment="0" applyProtection="0"/>
    <xf numFmtId="179" fontId="17" fillId="0" borderId="0" applyFont="0" applyFill="0" applyBorder="0" applyAlignment="0" applyProtection="0"/>
    <xf numFmtId="179" fontId="17" fillId="0" borderId="0" applyFont="0" applyFill="0" applyBorder="0" applyAlignment="0" applyProtection="0"/>
    <xf numFmtId="179" fontId="17" fillId="0" borderId="0" applyFont="0" applyFill="0" applyBorder="0" applyAlignment="0" applyProtection="0"/>
    <xf numFmtId="179" fontId="17" fillId="0" borderId="0" applyFont="0" applyFill="0" applyBorder="0" applyAlignment="0" applyProtection="0"/>
    <xf numFmtId="179" fontId="17" fillId="0" borderId="0" applyFont="0" applyFill="0" applyBorder="0" applyAlignment="0" applyProtection="0"/>
    <xf numFmtId="179" fontId="17" fillId="0" borderId="0" applyFont="0" applyFill="0" applyBorder="0" applyAlignment="0" applyProtection="0"/>
    <xf numFmtId="179" fontId="17" fillId="0" borderId="0" applyFont="0" applyFill="0" applyBorder="0" applyAlignment="0" applyProtection="0"/>
    <xf numFmtId="179" fontId="17" fillId="0" borderId="0" applyFont="0" applyFill="0" applyBorder="0" applyAlignment="0" applyProtection="0"/>
    <xf numFmtId="179" fontId="17" fillId="0" borderId="0" applyFont="0" applyFill="0" applyBorder="0" applyAlignment="0" applyProtection="0"/>
    <xf numFmtId="179" fontId="17" fillId="0" borderId="0" applyFont="0" applyFill="0" applyBorder="0" applyAlignment="0" applyProtection="0"/>
    <xf numFmtId="179" fontId="17" fillId="0" borderId="0" applyFont="0" applyFill="0" applyBorder="0" applyAlignment="0" applyProtection="0"/>
    <xf numFmtId="179" fontId="17" fillId="0" borderId="0" applyFont="0" applyFill="0" applyBorder="0" applyAlignment="0" applyProtection="0"/>
    <xf numFmtId="179" fontId="17" fillId="0" borderId="0" applyFont="0" applyFill="0" applyBorder="0" applyAlignment="0" applyProtection="0"/>
    <xf numFmtId="179" fontId="17" fillId="0" borderId="0" applyFont="0" applyFill="0" applyBorder="0" applyAlignment="0" applyProtection="0"/>
    <xf numFmtId="179" fontId="17" fillId="0" borderId="0" applyFont="0" applyFill="0" applyBorder="0" applyAlignment="0" applyProtection="0"/>
    <xf numFmtId="179" fontId="17" fillId="0" borderId="0" applyFont="0" applyFill="0" applyBorder="0" applyAlignment="0" applyProtection="0"/>
    <xf numFmtId="176" fontId="17" fillId="0" borderId="0" applyFont="0" applyFill="0" applyBorder="0" applyAlignment="0" applyProtection="0"/>
    <xf numFmtId="0" fontId="20" fillId="0" borderId="0"/>
    <xf numFmtId="0" fontId="72" fillId="0" borderId="7" applyNumberFormat="0" applyFill="0" applyAlignment="0" applyProtection="0"/>
    <xf numFmtId="0" fontId="72" fillId="0" borderId="7" applyNumberFormat="0" applyFill="0" applyAlignment="0" applyProtection="0"/>
    <xf numFmtId="0" fontId="72" fillId="0" borderId="7" applyNumberFormat="0" applyFill="0" applyAlignment="0" applyProtection="0"/>
    <xf numFmtId="0" fontId="72" fillId="0" borderId="7" applyNumberFormat="0" applyFill="0" applyAlignment="0" applyProtection="0"/>
    <xf numFmtId="0" fontId="72" fillId="0" borderId="7" applyNumberFormat="0" applyFill="0" applyAlignment="0" applyProtection="0"/>
    <xf numFmtId="0" fontId="72" fillId="0" borderId="7" applyNumberFormat="0" applyFill="0" applyAlignment="0" applyProtection="0"/>
    <xf numFmtId="0" fontId="72" fillId="0" borderId="7" applyNumberFormat="0" applyFill="0" applyAlignment="0" applyProtection="0"/>
    <xf numFmtId="0" fontId="72" fillId="0" borderId="7" applyNumberFormat="0" applyFill="0" applyAlignment="0" applyProtection="0"/>
    <xf numFmtId="0" fontId="72" fillId="0" borderId="7" applyNumberFormat="0" applyFill="0" applyAlignment="0" applyProtection="0"/>
    <xf numFmtId="0" fontId="72" fillId="0" borderId="7" applyNumberFormat="0" applyFill="0" applyAlignment="0" applyProtection="0"/>
    <xf numFmtId="0" fontId="72" fillId="0" borderId="7" applyNumberFormat="0" applyFill="0" applyAlignment="0" applyProtection="0"/>
    <xf numFmtId="0" fontId="72" fillId="0" borderId="7" applyNumberFormat="0" applyFill="0" applyAlignment="0" applyProtection="0"/>
    <xf numFmtId="0" fontId="72" fillId="0" borderId="7" applyNumberFormat="0" applyFill="0" applyAlignment="0" applyProtection="0"/>
    <xf numFmtId="0" fontId="72" fillId="0" borderId="7" applyNumberFormat="0" applyFill="0" applyAlignment="0" applyProtection="0"/>
    <xf numFmtId="0" fontId="72" fillId="0" borderId="7" applyNumberFormat="0" applyFill="0" applyAlignment="0" applyProtection="0"/>
    <xf numFmtId="0" fontId="72" fillId="0" borderId="7" applyNumberFormat="0" applyFill="0" applyAlignment="0" applyProtection="0"/>
    <xf numFmtId="0" fontId="72" fillId="0" borderId="7" applyNumberFormat="0" applyFill="0" applyAlignment="0" applyProtection="0"/>
    <xf numFmtId="0" fontId="72" fillId="0" borderId="7" applyNumberFormat="0" applyFill="0" applyAlignment="0" applyProtection="0"/>
    <xf numFmtId="0" fontId="73" fillId="0" borderId="10" applyNumberFormat="0" applyFill="0" applyAlignment="0" applyProtection="0"/>
    <xf numFmtId="0" fontId="73" fillId="0" borderId="10" applyNumberFormat="0" applyFill="0" applyAlignment="0" applyProtection="0"/>
    <xf numFmtId="0" fontId="73" fillId="0" borderId="10" applyNumberFormat="0" applyFill="0" applyAlignment="0" applyProtection="0"/>
    <xf numFmtId="0" fontId="73" fillId="0" borderId="10" applyNumberFormat="0" applyFill="0" applyAlignment="0" applyProtection="0"/>
    <xf numFmtId="0" fontId="73" fillId="0" borderId="10" applyNumberFormat="0" applyFill="0" applyAlignment="0" applyProtection="0"/>
    <xf numFmtId="0" fontId="73" fillId="0" borderId="10" applyNumberFormat="0" applyFill="0" applyAlignment="0" applyProtection="0"/>
    <xf numFmtId="0" fontId="73" fillId="0" borderId="10" applyNumberFormat="0" applyFill="0" applyAlignment="0" applyProtection="0"/>
    <xf numFmtId="0" fontId="73" fillId="0" borderId="10" applyNumberFormat="0" applyFill="0" applyAlignment="0" applyProtection="0"/>
    <xf numFmtId="0" fontId="73" fillId="0" borderId="10" applyNumberFormat="0" applyFill="0" applyAlignment="0" applyProtection="0"/>
    <xf numFmtId="0" fontId="73" fillId="0" borderId="10" applyNumberFormat="0" applyFill="0" applyAlignment="0" applyProtection="0"/>
    <xf numFmtId="0" fontId="73" fillId="0" borderId="10" applyNumberFormat="0" applyFill="0" applyAlignment="0" applyProtection="0"/>
    <xf numFmtId="0" fontId="73" fillId="0" borderId="10" applyNumberFormat="0" applyFill="0" applyAlignment="0" applyProtection="0"/>
    <xf numFmtId="0" fontId="73" fillId="0" borderId="10" applyNumberFormat="0" applyFill="0" applyAlignment="0" applyProtection="0"/>
    <xf numFmtId="0" fontId="73" fillId="0" borderId="10" applyNumberFormat="0" applyFill="0" applyAlignment="0" applyProtection="0"/>
    <xf numFmtId="0" fontId="73" fillId="0" borderId="10" applyNumberFormat="0" applyFill="0" applyAlignment="0" applyProtection="0"/>
    <xf numFmtId="0" fontId="73" fillId="0" borderId="10" applyNumberFormat="0" applyFill="0" applyAlignment="0" applyProtection="0"/>
    <xf numFmtId="0" fontId="73" fillId="0" borderId="10" applyNumberFormat="0" applyFill="0" applyAlignment="0" applyProtection="0"/>
    <xf numFmtId="0" fontId="73" fillId="0" borderId="10" applyNumberFormat="0" applyFill="0" applyAlignment="0" applyProtection="0"/>
    <xf numFmtId="0" fontId="17" fillId="0" borderId="0"/>
    <xf numFmtId="0" fontId="74" fillId="5" borderId="5" applyNumberFormat="0" applyAlignment="0" applyProtection="0"/>
    <xf numFmtId="0" fontId="74" fillId="5" borderId="5" applyNumberFormat="0" applyAlignment="0" applyProtection="0"/>
    <xf numFmtId="0" fontId="74" fillId="5" borderId="5" applyNumberFormat="0" applyAlignment="0" applyProtection="0"/>
    <xf numFmtId="0" fontId="74" fillId="5" borderId="5" applyNumberFormat="0" applyAlignment="0" applyProtection="0"/>
    <xf numFmtId="0" fontId="74" fillId="5" borderId="5" applyNumberFormat="0" applyAlignment="0" applyProtection="0"/>
    <xf numFmtId="0" fontId="74" fillId="5" borderId="5" applyNumberFormat="0" applyAlignment="0" applyProtection="0"/>
    <xf numFmtId="0" fontId="74" fillId="5" borderId="5" applyNumberFormat="0" applyAlignment="0" applyProtection="0"/>
    <xf numFmtId="0" fontId="74" fillId="5" borderId="5" applyNumberFormat="0" applyAlignment="0" applyProtection="0"/>
    <xf numFmtId="0" fontId="74" fillId="5" borderId="5" applyNumberFormat="0" applyAlignment="0" applyProtection="0"/>
    <xf numFmtId="0" fontId="74" fillId="5" borderId="5" applyNumberFormat="0" applyAlignment="0" applyProtection="0"/>
    <xf numFmtId="0" fontId="74" fillId="5" borderId="5" applyNumberFormat="0" applyAlignment="0" applyProtection="0"/>
    <xf numFmtId="0" fontId="74" fillId="5" borderId="5" applyNumberFormat="0" applyAlignment="0" applyProtection="0"/>
    <xf numFmtId="0" fontId="74" fillId="5" borderId="5" applyNumberFormat="0" applyAlignment="0" applyProtection="0"/>
    <xf numFmtId="0" fontId="74" fillId="5" borderId="5" applyNumberFormat="0" applyAlignment="0" applyProtection="0"/>
    <xf numFmtId="0" fontId="74" fillId="5" borderId="5" applyNumberFormat="0" applyAlignment="0" applyProtection="0"/>
    <xf numFmtId="0" fontId="74" fillId="5" borderId="5" applyNumberFormat="0" applyAlignment="0" applyProtection="0"/>
    <xf numFmtId="0" fontId="74" fillId="5" borderId="5" applyNumberFormat="0" applyAlignment="0" applyProtection="0"/>
    <xf numFmtId="0" fontId="74" fillId="5" borderId="5" applyNumberFormat="0" applyAlignment="0" applyProtection="0"/>
    <xf numFmtId="0" fontId="75" fillId="0" borderId="2" applyNumberFormat="0" applyFill="0" applyAlignment="0" applyProtection="0"/>
    <xf numFmtId="0" fontId="75" fillId="0" borderId="2" applyNumberFormat="0" applyFill="0" applyAlignment="0" applyProtection="0"/>
    <xf numFmtId="0" fontId="75" fillId="0" borderId="2" applyNumberFormat="0" applyFill="0" applyAlignment="0" applyProtection="0"/>
    <xf numFmtId="0" fontId="75" fillId="0" borderId="2" applyNumberFormat="0" applyFill="0" applyAlignment="0" applyProtection="0"/>
    <xf numFmtId="0" fontId="75" fillId="0" borderId="2" applyNumberFormat="0" applyFill="0" applyAlignment="0" applyProtection="0"/>
    <xf numFmtId="0" fontId="75" fillId="0" borderId="2" applyNumberFormat="0" applyFill="0" applyAlignment="0" applyProtection="0"/>
    <xf numFmtId="0" fontId="75" fillId="0" borderId="2" applyNumberFormat="0" applyFill="0" applyAlignment="0" applyProtection="0"/>
    <xf numFmtId="0" fontId="75" fillId="0" borderId="2" applyNumberFormat="0" applyFill="0" applyAlignment="0" applyProtection="0"/>
    <xf numFmtId="0" fontId="75" fillId="0" borderId="2" applyNumberFormat="0" applyFill="0" applyAlignment="0" applyProtection="0"/>
    <xf numFmtId="0" fontId="75" fillId="0" borderId="2" applyNumberFormat="0" applyFill="0" applyAlignment="0" applyProtection="0"/>
    <xf numFmtId="0" fontId="75" fillId="0" borderId="2" applyNumberFormat="0" applyFill="0" applyAlignment="0" applyProtection="0"/>
    <xf numFmtId="0" fontId="75" fillId="0" borderId="2" applyNumberFormat="0" applyFill="0" applyAlignment="0" applyProtection="0"/>
    <xf numFmtId="0" fontId="75" fillId="0" borderId="2" applyNumberFormat="0" applyFill="0" applyAlignment="0" applyProtection="0"/>
    <xf numFmtId="0" fontId="75" fillId="0" borderId="2" applyNumberFormat="0" applyFill="0" applyAlignment="0" applyProtection="0"/>
    <xf numFmtId="0" fontId="75" fillId="0" borderId="2" applyNumberFormat="0" applyFill="0" applyAlignment="0" applyProtection="0"/>
    <xf numFmtId="0" fontId="75" fillId="0" borderId="2" applyNumberFormat="0" applyFill="0" applyAlignment="0" applyProtection="0"/>
    <xf numFmtId="0" fontId="75" fillId="0" borderId="2" applyNumberFormat="0" applyFill="0" applyAlignment="0" applyProtection="0"/>
    <xf numFmtId="0" fontId="75" fillId="0" borderId="2" applyNumberFormat="0" applyFill="0" applyAlignment="0" applyProtection="0"/>
    <xf numFmtId="0" fontId="76" fillId="0" borderId="3" applyNumberFormat="0" applyFill="0" applyAlignment="0" applyProtection="0"/>
    <xf numFmtId="0" fontId="76" fillId="0" borderId="3" applyNumberFormat="0" applyFill="0" applyAlignment="0" applyProtection="0"/>
    <xf numFmtId="0" fontId="76" fillId="0" borderId="3" applyNumberFormat="0" applyFill="0" applyAlignment="0" applyProtection="0"/>
    <xf numFmtId="0" fontId="76" fillId="0" borderId="3" applyNumberFormat="0" applyFill="0" applyAlignment="0" applyProtection="0"/>
    <xf numFmtId="0" fontId="76" fillId="0" borderId="3" applyNumberFormat="0" applyFill="0" applyAlignment="0" applyProtection="0"/>
    <xf numFmtId="0" fontId="76" fillId="0" borderId="3" applyNumberFormat="0" applyFill="0" applyAlignment="0" applyProtection="0"/>
    <xf numFmtId="0" fontId="76" fillId="0" borderId="3" applyNumberFormat="0" applyFill="0" applyAlignment="0" applyProtection="0"/>
    <xf numFmtId="0" fontId="76" fillId="0" borderId="3" applyNumberFormat="0" applyFill="0" applyAlignment="0" applyProtection="0"/>
    <xf numFmtId="0" fontId="76" fillId="0" borderId="3" applyNumberFormat="0" applyFill="0" applyAlignment="0" applyProtection="0"/>
    <xf numFmtId="0" fontId="76" fillId="0" borderId="3" applyNumberFormat="0" applyFill="0" applyAlignment="0" applyProtection="0"/>
    <xf numFmtId="0" fontId="76" fillId="0" borderId="3" applyNumberFormat="0" applyFill="0" applyAlignment="0" applyProtection="0"/>
    <xf numFmtId="0" fontId="76" fillId="0" borderId="3" applyNumberFormat="0" applyFill="0" applyAlignment="0" applyProtection="0"/>
    <xf numFmtId="0" fontId="76" fillId="0" borderId="3" applyNumberFormat="0" applyFill="0" applyAlignment="0" applyProtection="0"/>
    <xf numFmtId="0" fontId="76" fillId="0" borderId="3" applyNumberFormat="0" applyFill="0" applyAlignment="0" applyProtection="0"/>
    <xf numFmtId="0" fontId="76" fillId="0" borderId="3" applyNumberFormat="0" applyFill="0" applyAlignment="0" applyProtection="0"/>
    <xf numFmtId="0" fontId="76" fillId="0" borderId="3" applyNumberFormat="0" applyFill="0" applyAlignment="0" applyProtection="0"/>
    <xf numFmtId="0" fontId="76" fillId="0" borderId="3" applyNumberFormat="0" applyFill="0" applyAlignment="0" applyProtection="0"/>
    <xf numFmtId="0" fontId="76" fillId="0" borderId="3" applyNumberFormat="0" applyFill="0" applyAlignment="0" applyProtection="0"/>
    <xf numFmtId="0" fontId="77" fillId="0" borderId="4" applyNumberFormat="0" applyFill="0" applyAlignment="0" applyProtection="0"/>
    <xf numFmtId="0" fontId="77" fillId="0" borderId="4" applyNumberFormat="0" applyFill="0" applyAlignment="0" applyProtection="0"/>
    <xf numFmtId="0" fontId="77" fillId="0" borderId="4" applyNumberFormat="0" applyFill="0" applyAlignment="0" applyProtection="0"/>
    <xf numFmtId="0" fontId="77" fillId="0" borderId="4" applyNumberFormat="0" applyFill="0" applyAlignment="0" applyProtection="0"/>
    <xf numFmtId="0" fontId="77" fillId="0" borderId="4" applyNumberFormat="0" applyFill="0" applyAlignment="0" applyProtection="0"/>
    <xf numFmtId="0" fontId="77" fillId="0" borderId="4" applyNumberFormat="0" applyFill="0" applyAlignment="0" applyProtection="0"/>
    <xf numFmtId="0" fontId="77" fillId="0" borderId="4" applyNumberFormat="0" applyFill="0" applyAlignment="0" applyProtection="0"/>
    <xf numFmtId="0" fontId="77" fillId="0" borderId="4" applyNumberFormat="0" applyFill="0" applyAlignment="0" applyProtection="0"/>
    <xf numFmtId="0" fontId="77" fillId="0" borderId="4" applyNumberFormat="0" applyFill="0" applyAlignment="0" applyProtection="0"/>
    <xf numFmtId="0" fontId="77" fillId="0" borderId="4" applyNumberFormat="0" applyFill="0" applyAlignment="0" applyProtection="0"/>
    <xf numFmtId="0" fontId="77" fillId="0" borderId="4" applyNumberFormat="0" applyFill="0" applyAlignment="0" applyProtection="0"/>
    <xf numFmtId="0" fontId="77" fillId="0" borderId="4" applyNumberFormat="0" applyFill="0" applyAlignment="0" applyProtection="0"/>
    <xf numFmtId="0" fontId="77" fillId="0" borderId="4" applyNumberFormat="0" applyFill="0" applyAlignment="0" applyProtection="0"/>
    <xf numFmtId="0" fontId="77" fillId="0" borderId="4" applyNumberFormat="0" applyFill="0" applyAlignment="0" applyProtection="0"/>
    <xf numFmtId="0" fontId="77" fillId="0" borderId="4" applyNumberFormat="0" applyFill="0" applyAlignment="0" applyProtection="0"/>
    <xf numFmtId="0" fontId="77" fillId="0" borderId="4" applyNumberFormat="0" applyFill="0" applyAlignment="0" applyProtection="0"/>
    <xf numFmtId="0" fontId="77" fillId="0" borderId="4" applyNumberFormat="0" applyFill="0" applyAlignment="0" applyProtection="0"/>
    <xf numFmtId="0" fontId="77" fillId="0" borderId="4" applyNumberFormat="0" applyFill="0" applyAlignment="0" applyProtection="0"/>
    <xf numFmtId="0" fontId="77" fillId="0" borderId="0" applyNumberFormat="0" applyFill="0" applyBorder="0" applyAlignment="0" applyProtection="0"/>
    <xf numFmtId="0" fontId="77" fillId="0" borderId="0" applyNumberFormat="0" applyFill="0" applyBorder="0" applyAlignment="0" applyProtection="0"/>
    <xf numFmtId="0" fontId="77" fillId="0" borderId="0" applyNumberFormat="0" applyFill="0" applyBorder="0" applyAlignment="0" applyProtection="0"/>
    <xf numFmtId="0" fontId="77" fillId="0" borderId="0" applyNumberFormat="0" applyFill="0" applyBorder="0" applyAlignment="0" applyProtection="0"/>
    <xf numFmtId="0" fontId="77" fillId="0" borderId="0" applyNumberFormat="0" applyFill="0" applyBorder="0" applyAlignment="0" applyProtection="0"/>
    <xf numFmtId="0" fontId="77" fillId="0" borderId="0" applyNumberFormat="0" applyFill="0" applyBorder="0" applyAlignment="0" applyProtection="0"/>
    <xf numFmtId="0" fontId="77" fillId="0" borderId="0" applyNumberFormat="0" applyFill="0" applyBorder="0" applyAlignment="0" applyProtection="0"/>
    <xf numFmtId="0" fontId="77" fillId="0" borderId="0" applyNumberFormat="0" applyFill="0" applyBorder="0" applyAlignment="0" applyProtection="0"/>
    <xf numFmtId="0" fontId="77" fillId="0" borderId="0" applyNumberFormat="0" applyFill="0" applyBorder="0" applyAlignment="0" applyProtection="0"/>
    <xf numFmtId="0" fontId="77" fillId="0" borderId="0" applyNumberFormat="0" applyFill="0" applyBorder="0" applyAlignment="0" applyProtection="0"/>
    <xf numFmtId="0" fontId="77" fillId="0" borderId="0" applyNumberFormat="0" applyFill="0" applyBorder="0" applyAlignment="0" applyProtection="0"/>
    <xf numFmtId="0" fontId="77" fillId="0" borderId="0" applyNumberFormat="0" applyFill="0" applyBorder="0" applyAlignment="0" applyProtection="0"/>
    <xf numFmtId="0" fontId="77" fillId="0" borderId="0" applyNumberFormat="0" applyFill="0" applyBorder="0" applyAlignment="0" applyProtection="0"/>
    <xf numFmtId="0" fontId="77" fillId="0" borderId="0" applyNumberFormat="0" applyFill="0" applyBorder="0" applyAlignment="0" applyProtection="0"/>
    <xf numFmtId="0" fontId="77" fillId="0" borderId="0" applyNumberFormat="0" applyFill="0" applyBorder="0" applyAlignment="0" applyProtection="0"/>
    <xf numFmtId="0" fontId="77" fillId="0" borderId="0" applyNumberFormat="0" applyFill="0" applyBorder="0" applyAlignment="0" applyProtection="0"/>
    <xf numFmtId="0" fontId="77" fillId="0" borderId="0" applyNumberFormat="0" applyFill="0" applyBorder="0" applyAlignment="0" applyProtection="0"/>
    <xf numFmtId="0" fontId="77" fillId="0" borderId="0" applyNumberFormat="0" applyFill="0" applyBorder="0" applyAlignment="0" applyProtection="0"/>
    <xf numFmtId="0" fontId="78" fillId="0" borderId="0" applyNumberFormat="0" applyFill="0" applyBorder="0" applyAlignment="0" applyProtection="0"/>
    <xf numFmtId="0" fontId="78" fillId="0" borderId="0" applyNumberFormat="0" applyFill="0" applyBorder="0" applyAlignment="0" applyProtection="0"/>
    <xf numFmtId="0" fontId="78" fillId="0" borderId="0" applyNumberFormat="0" applyFill="0" applyBorder="0" applyAlignment="0" applyProtection="0"/>
    <xf numFmtId="0" fontId="78" fillId="0" borderId="0" applyNumberFormat="0" applyFill="0" applyBorder="0" applyAlignment="0" applyProtection="0"/>
    <xf numFmtId="0" fontId="78" fillId="0" borderId="0" applyNumberFormat="0" applyFill="0" applyBorder="0" applyAlignment="0" applyProtection="0"/>
    <xf numFmtId="0" fontId="78" fillId="0" borderId="0" applyNumberFormat="0" applyFill="0" applyBorder="0" applyAlignment="0" applyProtection="0"/>
    <xf numFmtId="0" fontId="78" fillId="0" borderId="0" applyNumberFormat="0" applyFill="0" applyBorder="0" applyAlignment="0" applyProtection="0"/>
    <xf numFmtId="0" fontId="79" fillId="2" borderId="0" applyNumberFormat="0" applyBorder="0" applyAlignment="0" applyProtection="0"/>
    <xf numFmtId="0" fontId="79" fillId="2" borderId="0" applyNumberFormat="0" applyBorder="0" applyAlignment="0" applyProtection="0"/>
    <xf numFmtId="0" fontId="79" fillId="2" borderId="0" applyNumberFormat="0" applyBorder="0" applyAlignment="0" applyProtection="0"/>
    <xf numFmtId="0" fontId="79" fillId="2" borderId="0" applyNumberFormat="0" applyBorder="0" applyAlignment="0" applyProtection="0"/>
    <xf numFmtId="0" fontId="79" fillId="2" borderId="0" applyNumberFormat="0" applyBorder="0" applyAlignment="0" applyProtection="0"/>
    <xf numFmtId="0" fontId="79" fillId="2" borderId="0" applyNumberFormat="0" applyBorder="0" applyAlignment="0" applyProtection="0"/>
    <xf numFmtId="0" fontId="79" fillId="2" borderId="0" applyNumberFormat="0" applyBorder="0" applyAlignment="0" applyProtection="0"/>
    <xf numFmtId="0" fontId="79" fillId="2" borderId="0" applyNumberFormat="0" applyBorder="0" applyAlignment="0" applyProtection="0"/>
    <xf numFmtId="0" fontId="79" fillId="2" borderId="0" applyNumberFormat="0" applyBorder="0" applyAlignment="0" applyProtection="0"/>
    <xf numFmtId="0" fontId="79" fillId="2" borderId="0" applyNumberFormat="0" applyBorder="0" applyAlignment="0" applyProtection="0"/>
    <xf numFmtId="0" fontId="79" fillId="2" borderId="0" applyNumberFormat="0" applyBorder="0" applyAlignment="0" applyProtection="0"/>
    <xf numFmtId="0" fontId="79" fillId="2" borderId="0" applyNumberFormat="0" applyBorder="0" applyAlignment="0" applyProtection="0"/>
    <xf numFmtId="0" fontId="79" fillId="2" borderId="0" applyNumberFormat="0" applyBorder="0" applyAlignment="0" applyProtection="0"/>
    <xf numFmtId="0" fontId="79" fillId="2" borderId="0" applyNumberFormat="0" applyBorder="0" applyAlignment="0" applyProtection="0"/>
    <xf numFmtId="0" fontId="79" fillId="2" borderId="0" applyNumberFormat="0" applyBorder="0" applyAlignment="0" applyProtection="0"/>
    <xf numFmtId="0" fontId="79" fillId="2" borderId="0" applyNumberFormat="0" applyBorder="0" applyAlignment="0" applyProtection="0"/>
    <xf numFmtId="0" fontId="79" fillId="2" borderId="0" applyNumberFormat="0" applyBorder="0" applyAlignment="0" applyProtection="0"/>
    <xf numFmtId="0" fontId="79" fillId="2" borderId="0" applyNumberFormat="0" applyBorder="0" applyAlignment="0" applyProtection="0"/>
    <xf numFmtId="0" fontId="80" fillId="6" borderId="6" applyNumberFormat="0" applyAlignment="0" applyProtection="0"/>
    <xf numFmtId="0" fontId="80" fillId="6" borderId="6" applyNumberFormat="0" applyAlignment="0" applyProtection="0"/>
    <xf numFmtId="0" fontId="80" fillId="6" borderId="6" applyNumberFormat="0" applyAlignment="0" applyProtection="0"/>
    <xf numFmtId="0" fontId="80" fillId="6" borderId="6" applyNumberFormat="0" applyAlignment="0" applyProtection="0"/>
    <xf numFmtId="0" fontId="80" fillId="6" borderId="6" applyNumberFormat="0" applyAlignment="0" applyProtection="0"/>
    <xf numFmtId="0" fontId="80" fillId="6" borderId="6" applyNumberFormat="0" applyAlignment="0" applyProtection="0"/>
    <xf numFmtId="0" fontId="80" fillId="6" borderId="6" applyNumberFormat="0" applyAlignment="0" applyProtection="0"/>
    <xf numFmtId="0" fontId="80" fillId="6" borderId="6" applyNumberFormat="0" applyAlignment="0" applyProtection="0"/>
    <xf numFmtId="0" fontId="80" fillId="6" borderId="6" applyNumberFormat="0" applyAlignment="0" applyProtection="0"/>
    <xf numFmtId="0" fontId="80" fillId="6" borderId="6" applyNumberFormat="0" applyAlignment="0" applyProtection="0"/>
    <xf numFmtId="0" fontId="80" fillId="6" borderId="6" applyNumberFormat="0" applyAlignment="0" applyProtection="0"/>
    <xf numFmtId="0" fontId="80" fillId="6" borderId="6" applyNumberFormat="0" applyAlignment="0" applyProtection="0"/>
    <xf numFmtId="0" fontId="80" fillId="6" borderId="6" applyNumberFormat="0" applyAlignment="0" applyProtection="0"/>
    <xf numFmtId="0" fontId="80" fillId="6" borderId="6" applyNumberFormat="0" applyAlignment="0" applyProtection="0"/>
    <xf numFmtId="0" fontId="80" fillId="6" borderId="6" applyNumberFormat="0" applyAlignment="0" applyProtection="0"/>
    <xf numFmtId="0" fontId="80" fillId="6" borderId="6" applyNumberFormat="0" applyAlignment="0" applyProtection="0"/>
    <xf numFmtId="0" fontId="80" fillId="6" borderId="6" applyNumberFormat="0" applyAlignment="0" applyProtection="0"/>
    <xf numFmtId="0" fontId="80" fillId="6" borderId="6" applyNumberFormat="0" applyAlignment="0" applyProtection="0"/>
    <xf numFmtId="41" fontId="18" fillId="0" borderId="0" applyFont="0" applyFill="0" applyBorder="0" applyAlignment="0" applyProtection="0"/>
    <xf numFmtId="43" fontId="18" fillId="0" borderId="0" applyFont="0" applyFill="0" applyBorder="0" applyAlignment="0" applyProtection="0"/>
    <xf numFmtId="178" fontId="26" fillId="0" borderId="0" applyFont="0" applyFill="0" applyBorder="0" applyAlignment="0" applyProtection="0"/>
    <xf numFmtId="42" fontId="18" fillId="0" borderId="0" applyFont="0" applyFill="0" applyBorder="0" applyAlignment="0" applyProtection="0"/>
    <xf numFmtId="178" fontId="26" fillId="0" borderId="0" applyFont="0" applyFill="0" applyBorder="0" applyAlignment="0" applyProtection="0"/>
    <xf numFmtId="178" fontId="26" fillId="0" borderId="0" applyFont="0" applyFill="0" applyBorder="0" applyAlignment="0" applyProtection="0"/>
    <xf numFmtId="178" fontId="26" fillId="0" borderId="0" applyFont="0" applyFill="0" applyBorder="0" applyAlignment="0" applyProtection="0"/>
    <xf numFmtId="178" fontId="26" fillId="0" borderId="0" applyFont="0" applyFill="0" applyBorder="0" applyAlignment="0" applyProtection="0"/>
    <xf numFmtId="178" fontId="26" fillId="0" borderId="0" applyFont="0" applyFill="0" applyBorder="0" applyAlignment="0" applyProtection="0"/>
    <xf numFmtId="42" fontId="18" fillId="0" borderId="0" applyFont="0" applyFill="0" applyBorder="0" applyAlignment="0" applyProtection="0"/>
    <xf numFmtId="0" fontId="18"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3"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3" fillId="0" borderId="0"/>
    <xf numFmtId="0" fontId="17" fillId="0" borderId="0"/>
    <xf numFmtId="0" fontId="13" fillId="0" borderId="0"/>
    <xf numFmtId="0" fontId="13"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64" fillId="0" borderId="0"/>
    <xf numFmtId="0" fontId="64" fillId="0" borderId="0"/>
    <xf numFmtId="0" fontId="17" fillId="0" borderId="0"/>
    <xf numFmtId="0" fontId="64" fillId="0" borderId="0"/>
    <xf numFmtId="0" fontId="64" fillId="0" borderId="0"/>
    <xf numFmtId="0" fontId="64" fillId="0" borderId="0"/>
    <xf numFmtId="0" fontId="18" fillId="0" borderId="0"/>
    <xf numFmtId="0" fontId="18" fillId="0" borderId="0"/>
    <xf numFmtId="0" fontId="18" fillId="0" borderId="0"/>
    <xf numFmtId="0" fontId="18"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64" fillId="0" borderId="0"/>
    <xf numFmtId="0" fontId="17" fillId="0" borderId="0"/>
    <xf numFmtId="0" fontId="17" fillId="0" borderId="0"/>
    <xf numFmtId="0" fontId="25" fillId="0" borderId="0">
      <alignment vertical="center"/>
    </xf>
    <xf numFmtId="0" fontId="81" fillId="0" borderId="0" applyNumberFormat="0" applyFill="0" applyBorder="0" applyAlignment="0" applyProtection="0">
      <alignment vertical="top"/>
      <protection locked="0"/>
    </xf>
    <xf numFmtId="0" fontId="81" fillId="0" borderId="0" applyNumberFormat="0" applyFill="0" applyBorder="0" applyAlignment="0" applyProtection="0">
      <alignment vertical="top"/>
      <protection locked="0"/>
    </xf>
    <xf numFmtId="0" fontId="81" fillId="0" borderId="0" applyNumberFormat="0" applyFill="0" applyBorder="0" applyAlignment="0" applyProtection="0">
      <alignment vertical="top"/>
      <protection locked="0"/>
    </xf>
    <xf numFmtId="0" fontId="81" fillId="0" borderId="0" applyNumberFormat="0" applyFill="0" applyBorder="0" applyAlignment="0" applyProtection="0">
      <alignment vertical="top"/>
      <protection locked="0"/>
    </xf>
    <xf numFmtId="0" fontId="19" fillId="0" borderId="0" applyNumberFormat="0" applyFill="0" applyBorder="0" applyAlignment="0" applyProtection="0">
      <alignment vertical="top"/>
      <protection locked="0"/>
    </xf>
    <xf numFmtId="0" fontId="19" fillId="0" borderId="0" applyNumberFormat="0" applyFill="0" applyBorder="0" applyAlignment="0" applyProtection="0">
      <alignment vertical="top"/>
      <protection locked="0"/>
    </xf>
    <xf numFmtId="0" fontId="19" fillId="0" borderId="0" applyNumberFormat="0" applyFill="0" applyBorder="0" applyAlignment="0" applyProtection="0">
      <alignment vertical="top"/>
      <protection locked="0"/>
    </xf>
    <xf numFmtId="0" fontId="19" fillId="0" borderId="0" applyNumberFormat="0" applyFill="0" applyBorder="0" applyAlignment="0" applyProtection="0">
      <alignment vertical="top"/>
      <protection locked="0"/>
    </xf>
    <xf numFmtId="0" fontId="10" fillId="0" borderId="0">
      <alignment vertical="center"/>
    </xf>
    <xf numFmtId="43" fontId="10" fillId="0" borderId="0" applyFont="0" applyFill="0" applyBorder="0" applyAlignment="0" applyProtection="0">
      <alignment vertical="center"/>
    </xf>
    <xf numFmtId="41" fontId="10" fillId="0" borderId="0" applyFont="0" applyFill="0" applyBorder="0" applyAlignment="0" applyProtection="0">
      <alignment vertical="center"/>
    </xf>
    <xf numFmtId="44" fontId="10" fillId="0" borderId="0" applyFont="0" applyFill="0" applyBorder="0" applyAlignment="0" applyProtection="0">
      <alignment vertical="center"/>
    </xf>
    <xf numFmtId="9" fontId="10" fillId="0" borderId="0" applyFont="0" applyFill="0" applyBorder="0" applyAlignment="0" applyProtection="0">
      <alignment vertical="center"/>
    </xf>
    <xf numFmtId="43" fontId="10" fillId="0" borderId="0" applyFont="0" applyFill="0" applyBorder="0" applyAlignment="0" applyProtection="0">
      <alignment vertical="center"/>
    </xf>
    <xf numFmtId="41" fontId="12" fillId="0" borderId="0" applyFont="0" applyFill="0" applyBorder="0" applyAlignment="0" applyProtection="0">
      <alignment vertical="center"/>
    </xf>
    <xf numFmtId="41" fontId="83" fillId="0" borderId="0" applyFont="0" applyFill="0" applyBorder="0" applyAlignment="0" applyProtection="0"/>
    <xf numFmtId="43" fontId="10" fillId="0" borderId="0" applyFont="0" applyFill="0" applyBorder="0" applyAlignment="0" applyProtection="0">
      <alignment vertical="center"/>
    </xf>
    <xf numFmtId="43" fontId="10" fillId="0" borderId="0" applyFont="0" applyFill="0" applyBorder="0" applyAlignment="0" applyProtection="0">
      <alignment vertical="center"/>
    </xf>
    <xf numFmtId="44" fontId="10" fillId="0" borderId="0" applyFont="0" applyFill="0" applyBorder="0" applyAlignment="0" applyProtection="0">
      <alignment vertical="center"/>
    </xf>
    <xf numFmtId="44" fontId="10" fillId="0" borderId="0" applyFont="0" applyFill="0" applyBorder="0" applyAlignment="0" applyProtection="0">
      <alignment vertical="center"/>
    </xf>
    <xf numFmtId="43" fontId="10" fillId="0" borderId="0" applyFont="0" applyFill="0" applyBorder="0" applyAlignment="0" applyProtection="0">
      <alignment vertical="center"/>
    </xf>
    <xf numFmtId="44" fontId="10" fillId="0" borderId="0" applyFont="0" applyFill="0" applyBorder="0" applyAlignment="0" applyProtection="0">
      <alignment vertical="center"/>
    </xf>
    <xf numFmtId="44" fontId="10" fillId="0" borderId="0" applyFont="0" applyFill="0" applyBorder="0" applyAlignment="0" applyProtection="0">
      <alignment vertical="center"/>
    </xf>
    <xf numFmtId="43" fontId="10" fillId="0" borderId="0" applyFont="0" applyFill="0" applyBorder="0" applyAlignment="0" applyProtection="0">
      <alignment vertical="center"/>
    </xf>
    <xf numFmtId="44" fontId="10" fillId="0" borderId="0" applyFont="0" applyFill="0" applyBorder="0" applyAlignment="0" applyProtection="0">
      <alignment vertical="center"/>
    </xf>
    <xf numFmtId="0" fontId="18" fillId="0" borderId="0">
      <alignment vertical="center"/>
    </xf>
    <xf numFmtId="178" fontId="17" fillId="0" borderId="0" applyFont="0" applyFill="0" applyBorder="0" applyAlignment="0" applyProtection="0"/>
    <xf numFmtId="0" fontId="13" fillId="0" borderId="0"/>
    <xf numFmtId="0" fontId="17" fillId="0" borderId="0"/>
    <xf numFmtId="0" fontId="13" fillId="0" borderId="0"/>
    <xf numFmtId="0" fontId="13" fillId="0" borderId="0"/>
    <xf numFmtId="0" fontId="13" fillId="0" borderId="0"/>
    <xf numFmtId="0" fontId="13" fillId="0" borderId="0"/>
    <xf numFmtId="9" fontId="15" fillId="0" borderId="0" applyFont="0" applyFill="0" applyBorder="0" applyAlignment="0" applyProtection="0"/>
    <xf numFmtId="179" fontId="13" fillId="0" borderId="0" applyFont="0" applyFill="0" applyBorder="0" applyAlignment="0" applyProtection="0"/>
    <xf numFmtId="179" fontId="17" fillId="0" borderId="0" applyFont="0" applyFill="0" applyBorder="0" applyAlignment="0" applyProtection="0"/>
    <xf numFmtId="179" fontId="13" fillId="0" borderId="0" applyFont="0" applyFill="0" applyBorder="0" applyAlignment="0" applyProtection="0"/>
    <xf numFmtId="179" fontId="13" fillId="0" borderId="0" applyFont="0" applyFill="0" applyBorder="0" applyAlignment="0" applyProtection="0"/>
    <xf numFmtId="179" fontId="13" fillId="0" borderId="0" applyFont="0" applyFill="0" applyBorder="0" applyAlignment="0" applyProtection="0"/>
    <xf numFmtId="179" fontId="13" fillId="0" borderId="0" applyFont="0" applyFill="0" applyBorder="0" applyAlignment="0" applyProtection="0"/>
    <xf numFmtId="179" fontId="13" fillId="0" borderId="0" applyFont="0" applyFill="0" applyBorder="0" applyAlignment="0" applyProtection="0"/>
    <xf numFmtId="179" fontId="13" fillId="0" borderId="0" applyFont="0" applyFill="0" applyBorder="0" applyAlignment="0" applyProtection="0"/>
    <xf numFmtId="179" fontId="13" fillId="0" borderId="0" applyFont="0" applyFill="0" applyBorder="0" applyAlignment="0" applyProtection="0"/>
    <xf numFmtId="179" fontId="84" fillId="0" borderId="0" applyFont="0" applyFill="0" applyBorder="0" applyAlignment="0" applyProtection="0"/>
    <xf numFmtId="179" fontId="13" fillId="0" borderId="0" applyFont="0" applyFill="0" applyBorder="0" applyAlignment="0" applyProtection="0"/>
    <xf numFmtId="179" fontId="13" fillId="0" borderId="0" applyFont="0" applyFill="0" applyBorder="0" applyAlignment="0" applyProtection="0"/>
    <xf numFmtId="178" fontId="13" fillId="0" borderId="0" applyFont="0" applyFill="0" applyBorder="0" applyAlignment="0" applyProtection="0"/>
    <xf numFmtId="178" fontId="13" fillId="0" borderId="0" applyFont="0" applyFill="0" applyBorder="0" applyAlignment="0" applyProtection="0"/>
    <xf numFmtId="178" fontId="13" fillId="0" borderId="0" applyFont="0" applyFill="0" applyBorder="0" applyAlignment="0" applyProtection="0"/>
    <xf numFmtId="178" fontId="13" fillId="0" borderId="0" applyFont="0" applyFill="0" applyBorder="0" applyAlignment="0" applyProtection="0"/>
    <xf numFmtId="178" fontId="13" fillId="0" borderId="0" applyFont="0" applyFill="0" applyBorder="0" applyAlignment="0" applyProtection="0"/>
    <xf numFmtId="178" fontId="13" fillId="0" borderId="0" applyFont="0" applyFill="0" applyBorder="0" applyAlignment="0" applyProtection="0"/>
    <xf numFmtId="178" fontId="13" fillId="0" borderId="0" applyFont="0" applyFill="0" applyBorder="0" applyAlignment="0" applyProtection="0"/>
    <xf numFmtId="178" fontId="13" fillId="0" borderId="0" applyFont="0" applyFill="0" applyBorder="0" applyAlignment="0" applyProtection="0"/>
    <xf numFmtId="178" fontId="84" fillId="0" borderId="0" applyFont="0" applyFill="0" applyBorder="0" applyAlignment="0" applyProtection="0"/>
    <xf numFmtId="178" fontId="13" fillId="0" borderId="0" applyFont="0" applyFill="0" applyBorder="0" applyAlignment="0" applyProtection="0"/>
    <xf numFmtId="178" fontId="13" fillId="0" borderId="0" applyFont="0" applyFill="0" applyBorder="0" applyAlignment="0" applyProtection="0"/>
    <xf numFmtId="178" fontId="15" fillId="0" borderId="0" applyFon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5"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1" fillId="0" borderId="0" applyNumberFormat="0" applyFill="0" applyBorder="0" applyAlignment="0" applyProtection="0">
      <alignment vertical="top"/>
      <protection locked="0"/>
    </xf>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86" fillId="0" borderId="0" applyNumberFormat="0" applyFill="0" applyBorder="0" applyAlignment="0" applyProtection="0"/>
    <xf numFmtId="0" fontId="20" fillId="0" borderId="0"/>
    <xf numFmtId="0" fontId="20" fillId="0" borderId="0"/>
    <xf numFmtId="0" fontId="13" fillId="0" borderId="0"/>
    <xf numFmtId="0" fontId="13" fillId="0" borderId="0"/>
    <xf numFmtId="0" fontId="13" fillId="0" borderId="0"/>
    <xf numFmtId="0" fontId="13" fillId="0" borderId="0"/>
    <xf numFmtId="0" fontId="13" fillId="0" borderId="0"/>
    <xf numFmtId="0" fontId="13" fillId="0" borderId="0"/>
    <xf numFmtId="0" fontId="84"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6"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7" fillId="0" borderId="0"/>
    <xf numFmtId="0" fontId="13" fillId="0" borderId="0"/>
    <xf numFmtId="0" fontId="13" fillId="0" borderId="0"/>
    <xf numFmtId="0" fontId="13" fillId="0" borderId="0"/>
    <xf numFmtId="0" fontId="17" fillId="0" borderId="0"/>
    <xf numFmtId="0" fontId="17" fillId="0" borderId="0"/>
    <xf numFmtId="0" fontId="13" fillId="0" borderId="0"/>
    <xf numFmtId="0" fontId="13" fillId="0" borderId="0"/>
    <xf numFmtId="0" fontId="17" fillId="0" borderId="0"/>
    <xf numFmtId="0" fontId="13" fillId="0" borderId="0"/>
    <xf numFmtId="0" fontId="13" fillId="0" borderId="0"/>
    <xf numFmtId="0" fontId="13" fillId="0" borderId="0"/>
    <xf numFmtId="0" fontId="13" fillId="0" borderId="0"/>
    <xf numFmtId="0" fontId="17"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20" fillId="0" borderId="0"/>
    <xf numFmtId="0" fontId="13" fillId="0" borderId="0"/>
    <xf numFmtId="0" fontId="13" fillId="0" borderId="0"/>
    <xf numFmtId="0" fontId="13" fillId="0" borderId="0"/>
    <xf numFmtId="0" fontId="13"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alignment vertical="center"/>
    </xf>
    <xf numFmtId="9" fontId="12" fillId="0" borderId="0" applyFont="0" applyFill="0" applyBorder="0" applyAlignment="0" applyProtection="0">
      <alignment vertical="center"/>
    </xf>
    <xf numFmtId="41" fontId="12" fillId="0" borderId="0" applyFont="0" applyFill="0" applyBorder="0" applyAlignment="0" applyProtection="0">
      <alignment vertical="center"/>
    </xf>
    <xf numFmtId="0" fontId="13" fillId="0" borderId="0">
      <alignment vertical="center"/>
    </xf>
    <xf numFmtId="0" fontId="13" fillId="0" borderId="0">
      <alignment vertical="center"/>
    </xf>
    <xf numFmtId="41" fontId="12" fillId="0" borderId="0" applyFont="0" applyFill="0" applyBorder="0" applyAlignment="0" applyProtection="0">
      <alignment vertical="center"/>
    </xf>
    <xf numFmtId="9" fontId="12" fillId="0" borderId="0" applyFont="0" applyFill="0" applyBorder="0" applyAlignment="0" applyProtection="0">
      <alignment vertical="center"/>
    </xf>
    <xf numFmtId="0" fontId="13" fillId="0" borderId="0">
      <alignment vertical="center"/>
    </xf>
    <xf numFmtId="0" fontId="24" fillId="0" borderId="0"/>
    <xf numFmtId="0" fontId="17" fillId="0" borderId="0"/>
    <xf numFmtId="0" fontId="17" fillId="0" borderId="0"/>
    <xf numFmtId="0" fontId="17" fillId="0" borderId="0"/>
    <xf numFmtId="0" fontId="20" fillId="0" borderId="0"/>
    <xf numFmtId="0" fontId="18"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64" fillId="0" borderId="0"/>
    <xf numFmtId="0" fontId="17" fillId="0" borderId="0"/>
    <xf numFmtId="0" fontId="17" fillId="0" borderId="0"/>
    <xf numFmtId="0" fontId="17" fillId="0" borderId="0"/>
    <xf numFmtId="0" fontId="64" fillId="0" borderId="0"/>
    <xf numFmtId="0" fontId="9" fillId="0" borderId="0">
      <alignment vertical="center"/>
    </xf>
    <xf numFmtId="43" fontId="9" fillId="0" borderId="0" applyFont="0" applyFill="0" applyBorder="0" applyAlignment="0" applyProtection="0">
      <alignment vertical="center"/>
    </xf>
    <xf numFmtId="41" fontId="9" fillId="0" borderId="0" applyFont="0" applyFill="0" applyBorder="0" applyAlignment="0" applyProtection="0">
      <alignment vertical="center"/>
    </xf>
    <xf numFmtId="44" fontId="9" fillId="0" borderId="0" applyFont="0" applyFill="0" applyBorder="0" applyAlignment="0" applyProtection="0">
      <alignment vertical="center"/>
    </xf>
    <xf numFmtId="9" fontId="9" fillId="0" borderId="0" applyFont="0" applyFill="0" applyBorder="0" applyAlignment="0" applyProtection="0">
      <alignment vertical="center"/>
    </xf>
    <xf numFmtId="43" fontId="9" fillId="0" borderId="0" applyFont="0" applyFill="0" applyBorder="0" applyAlignment="0" applyProtection="0">
      <alignment vertical="center"/>
    </xf>
    <xf numFmtId="43" fontId="9" fillId="0" borderId="0" applyFont="0" applyFill="0" applyBorder="0" applyAlignment="0" applyProtection="0">
      <alignment vertical="center"/>
    </xf>
    <xf numFmtId="43" fontId="9" fillId="0" borderId="0" applyFont="0" applyFill="0" applyBorder="0" applyAlignment="0" applyProtection="0">
      <alignment vertical="center"/>
    </xf>
    <xf numFmtId="44" fontId="9" fillId="0" borderId="0" applyFont="0" applyFill="0" applyBorder="0" applyAlignment="0" applyProtection="0">
      <alignment vertical="center"/>
    </xf>
    <xf numFmtId="44" fontId="9" fillId="0" borderId="0" applyFont="0" applyFill="0" applyBorder="0" applyAlignment="0" applyProtection="0">
      <alignment vertical="center"/>
    </xf>
    <xf numFmtId="43" fontId="9" fillId="0" borderId="0" applyFont="0" applyFill="0" applyBorder="0" applyAlignment="0" applyProtection="0">
      <alignment vertical="center"/>
    </xf>
    <xf numFmtId="44" fontId="9" fillId="0" borderId="0" applyFont="0" applyFill="0" applyBorder="0" applyAlignment="0" applyProtection="0">
      <alignment vertical="center"/>
    </xf>
    <xf numFmtId="44" fontId="9" fillId="0" borderId="0" applyFont="0" applyFill="0" applyBorder="0" applyAlignment="0" applyProtection="0">
      <alignment vertical="center"/>
    </xf>
    <xf numFmtId="43" fontId="9" fillId="0" borderId="0" applyFont="0" applyFill="0" applyBorder="0" applyAlignment="0" applyProtection="0">
      <alignment vertical="center"/>
    </xf>
    <xf numFmtId="44" fontId="9" fillId="0" borderId="0" applyFont="0" applyFill="0" applyBorder="0" applyAlignment="0" applyProtection="0">
      <alignment vertical="center"/>
    </xf>
    <xf numFmtId="0" fontId="18" fillId="0" borderId="0">
      <alignment vertical="center"/>
    </xf>
    <xf numFmtId="0" fontId="20" fillId="0" borderId="0"/>
    <xf numFmtId="0" fontId="20" fillId="0" borderId="0"/>
    <xf numFmtId="0" fontId="8" fillId="0" borderId="0">
      <alignment vertical="center"/>
    </xf>
    <xf numFmtId="43" fontId="8" fillId="0" borderId="0" applyFont="0" applyFill="0" applyBorder="0" applyAlignment="0" applyProtection="0">
      <alignment vertical="center"/>
    </xf>
    <xf numFmtId="41" fontId="8" fillId="0" borderId="0" applyFont="0" applyFill="0" applyBorder="0" applyAlignment="0" applyProtection="0">
      <alignment vertical="center"/>
    </xf>
    <xf numFmtId="44" fontId="8" fillId="0" borderId="0" applyFont="0" applyFill="0" applyBorder="0" applyAlignment="0" applyProtection="0">
      <alignment vertical="center"/>
    </xf>
    <xf numFmtId="9" fontId="8" fillId="0" borderId="0" applyFont="0" applyFill="0" applyBorder="0" applyAlignment="0" applyProtection="0">
      <alignment vertical="center"/>
    </xf>
    <xf numFmtId="43" fontId="8" fillId="0" borderId="0" applyFont="0" applyFill="0" applyBorder="0" applyAlignment="0" applyProtection="0">
      <alignment vertical="center"/>
    </xf>
    <xf numFmtId="43" fontId="8" fillId="0" borderId="0" applyFont="0" applyFill="0" applyBorder="0" applyAlignment="0" applyProtection="0">
      <alignment vertical="center"/>
    </xf>
    <xf numFmtId="43" fontId="8" fillId="0" borderId="0" applyFont="0" applyFill="0" applyBorder="0" applyAlignment="0" applyProtection="0">
      <alignment vertical="center"/>
    </xf>
    <xf numFmtId="44" fontId="8" fillId="0" borderId="0" applyFont="0" applyFill="0" applyBorder="0" applyAlignment="0" applyProtection="0">
      <alignment vertical="center"/>
    </xf>
    <xf numFmtId="44" fontId="8" fillId="0" borderId="0" applyFont="0" applyFill="0" applyBorder="0" applyAlignment="0" applyProtection="0">
      <alignment vertical="center"/>
    </xf>
    <xf numFmtId="43" fontId="8" fillId="0" borderId="0" applyFont="0" applyFill="0" applyBorder="0" applyAlignment="0" applyProtection="0">
      <alignment vertical="center"/>
    </xf>
    <xf numFmtId="44" fontId="8" fillId="0" borderId="0" applyFont="0" applyFill="0" applyBorder="0" applyAlignment="0" applyProtection="0">
      <alignment vertical="center"/>
    </xf>
    <xf numFmtId="44" fontId="8" fillId="0" borderId="0" applyFont="0" applyFill="0" applyBorder="0" applyAlignment="0" applyProtection="0">
      <alignment vertical="center"/>
    </xf>
    <xf numFmtId="43" fontId="8" fillId="0" borderId="0" applyFont="0" applyFill="0" applyBorder="0" applyAlignment="0" applyProtection="0">
      <alignment vertical="center"/>
    </xf>
    <xf numFmtId="44" fontId="8" fillId="0" borderId="0" applyFont="0" applyFill="0" applyBorder="0" applyAlignment="0" applyProtection="0">
      <alignment vertical="center"/>
    </xf>
    <xf numFmtId="0" fontId="22" fillId="0" borderId="0"/>
    <xf numFmtId="179" fontId="17" fillId="0" borderId="0" applyFont="0" applyFill="0" applyBorder="0" applyAlignment="0" applyProtection="0"/>
    <xf numFmtId="178" fontId="17" fillId="0" borderId="0" applyFont="0" applyFill="0" applyBorder="0" applyAlignment="0" applyProtection="0"/>
    <xf numFmtId="0" fontId="13" fillId="0" borderId="0">
      <alignment vertical="center"/>
    </xf>
    <xf numFmtId="178" fontId="17" fillId="0" borderId="0" applyFont="0" applyFill="0" applyBorder="0" applyAlignment="0" applyProtection="0"/>
    <xf numFmtId="179" fontId="17" fillId="0" borderId="0" applyFont="0" applyFill="0" applyBorder="0" applyAlignment="0" applyProtection="0"/>
    <xf numFmtId="0" fontId="7" fillId="0" borderId="0">
      <alignment vertical="center"/>
    </xf>
    <xf numFmtId="43" fontId="7" fillId="0" borderId="0" applyFont="0" applyFill="0" applyBorder="0" applyAlignment="0" applyProtection="0">
      <alignment vertical="center"/>
    </xf>
    <xf numFmtId="41" fontId="7" fillId="0" borderId="0" applyFont="0" applyFill="0" applyBorder="0" applyAlignment="0" applyProtection="0">
      <alignment vertical="center"/>
    </xf>
    <xf numFmtId="44" fontId="7" fillId="0" borderId="0" applyFont="0" applyFill="0" applyBorder="0" applyAlignment="0" applyProtection="0">
      <alignment vertical="center"/>
    </xf>
    <xf numFmtId="9" fontId="7" fillId="0" borderId="0" applyFont="0" applyFill="0" applyBorder="0" applyAlignment="0" applyProtection="0">
      <alignment vertical="center"/>
    </xf>
    <xf numFmtId="43" fontId="7" fillId="0" borderId="0" applyFont="0" applyFill="0" applyBorder="0" applyAlignment="0" applyProtection="0">
      <alignment vertical="center"/>
    </xf>
    <xf numFmtId="43" fontId="7" fillId="0" borderId="0" applyFont="0" applyFill="0" applyBorder="0" applyAlignment="0" applyProtection="0">
      <alignment vertical="center"/>
    </xf>
    <xf numFmtId="43" fontId="7" fillId="0" borderId="0" applyFont="0" applyFill="0" applyBorder="0" applyAlignment="0" applyProtection="0">
      <alignment vertical="center"/>
    </xf>
    <xf numFmtId="44" fontId="7" fillId="0" borderId="0" applyFont="0" applyFill="0" applyBorder="0" applyAlignment="0" applyProtection="0">
      <alignment vertical="center"/>
    </xf>
    <xf numFmtId="44" fontId="7" fillId="0" borderId="0" applyFont="0" applyFill="0" applyBorder="0" applyAlignment="0" applyProtection="0">
      <alignment vertical="center"/>
    </xf>
    <xf numFmtId="43" fontId="7" fillId="0" borderId="0" applyFont="0" applyFill="0" applyBorder="0" applyAlignment="0" applyProtection="0">
      <alignment vertical="center"/>
    </xf>
    <xf numFmtId="44" fontId="7" fillId="0" borderId="0" applyFont="0" applyFill="0" applyBorder="0" applyAlignment="0" applyProtection="0">
      <alignment vertical="center"/>
    </xf>
    <xf numFmtId="44" fontId="7" fillId="0" borderId="0" applyFont="0" applyFill="0" applyBorder="0" applyAlignment="0" applyProtection="0">
      <alignment vertical="center"/>
    </xf>
    <xf numFmtId="43" fontId="7" fillId="0" borderId="0" applyFont="0" applyFill="0" applyBorder="0" applyAlignment="0" applyProtection="0">
      <alignment vertical="center"/>
    </xf>
    <xf numFmtId="44" fontId="7" fillId="0" borderId="0" applyFont="0" applyFill="0" applyBorder="0" applyAlignment="0" applyProtection="0">
      <alignment vertical="center"/>
    </xf>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7" fillId="0" borderId="0"/>
    <xf numFmtId="0" fontId="18"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64" fillId="0" borderId="0"/>
    <xf numFmtId="0" fontId="17" fillId="0" borderId="0"/>
    <xf numFmtId="0" fontId="64" fillId="0" borderId="0"/>
    <xf numFmtId="0" fontId="7" fillId="0" borderId="0">
      <alignment vertical="center"/>
    </xf>
    <xf numFmtId="0" fontId="18" fillId="0" borderId="0">
      <alignment vertical="center"/>
    </xf>
    <xf numFmtId="43" fontId="7" fillId="0" borderId="0" applyFont="0" applyFill="0" applyBorder="0" applyAlignment="0" applyProtection="0">
      <alignment vertical="center"/>
    </xf>
    <xf numFmtId="41" fontId="7" fillId="0" borderId="0" applyFont="0" applyFill="0" applyBorder="0" applyAlignment="0" applyProtection="0">
      <alignment vertical="center"/>
    </xf>
    <xf numFmtId="44" fontId="7" fillId="0" borderId="0" applyFont="0" applyFill="0" applyBorder="0" applyAlignment="0" applyProtection="0">
      <alignment vertical="center"/>
    </xf>
    <xf numFmtId="9" fontId="7" fillId="0" borderId="0" applyFont="0" applyFill="0" applyBorder="0" applyAlignment="0" applyProtection="0">
      <alignment vertical="center"/>
    </xf>
    <xf numFmtId="43" fontId="7" fillId="0" borderId="0" applyFont="0" applyFill="0" applyBorder="0" applyAlignment="0" applyProtection="0">
      <alignment vertical="center"/>
    </xf>
    <xf numFmtId="43" fontId="7" fillId="0" borderId="0" applyFont="0" applyFill="0" applyBorder="0" applyAlignment="0" applyProtection="0">
      <alignment vertical="center"/>
    </xf>
    <xf numFmtId="43" fontId="7" fillId="0" borderId="0" applyFont="0" applyFill="0" applyBorder="0" applyAlignment="0" applyProtection="0">
      <alignment vertical="center"/>
    </xf>
    <xf numFmtId="44" fontId="7" fillId="0" borderId="0" applyFont="0" applyFill="0" applyBorder="0" applyAlignment="0" applyProtection="0">
      <alignment vertical="center"/>
    </xf>
    <xf numFmtId="44" fontId="7" fillId="0" borderId="0" applyFont="0" applyFill="0" applyBorder="0" applyAlignment="0" applyProtection="0">
      <alignment vertical="center"/>
    </xf>
    <xf numFmtId="43" fontId="7" fillId="0" borderId="0" applyFont="0" applyFill="0" applyBorder="0" applyAlignment="0" applyProtection="0">
      <alignment vertical="center"/>
    </xf>
    <xf numFmtId="44" fontId="7" fillId="0" borderId="0" applyFont="0" applyFill="0" applyBorder="0" applyAlignment="0" applyProtection="0">
      <alignment vertical="center"/>
    </xf>
    <xf numFmtId="44" fontId="7" fillId="0" borderId="0" applyFont="0" applyFill="0" applyBorder="0" applyAlignment="0" applyProtection="0">
      <alignment vertical="center"/>
    </xf>
    <xf numFmtId="43" fontId="7" fillId="0" borderId="0" applyFont="0" applyFill="0" applyBorder="0" applyAlignment="0" applyProtection="0">
      <alignment vertical="center"/>
    </xf>
    <xf numFmtId="44" fontId="7" fillId="0" borderId="0" applyFont="0" applyFill="0" applyBorder="0" applyAlignment="0" applyProtection="0">
      <alignment vertical="center"/>
    </xf>
    <xf numFmtId="0" fontId="13" fillId="0" borderId="0"/>
    <xf numFmtId="0" fontId="13" fillId="0" borderId="0"/>
    <xf numFmtId="0" fontId="13" fillId="0" borderId="0"/>
    <xf numFmtId="179" fontId="17" fillId="0" borderId="0" applyFont="0" applyFill="0" applyBorder="0" applyAlignment="0" applyProtection="0"/>
    <xf numFmtId="178" fontId="17" fillId="0" borderId="0" applyFont="0" applyFill="0" applyBorder="0" applyAlignment="0" applyProtection="0"/>
    <xf numFmtId="179" fontId="17" fillId="0" borderId="0" applyFont="0" applyFill="0" applyBorder="0" applyAlignment="0" applyProtection="0"/>
    <xf numFmtId="178" fontId="17" fillId="0" borderId="0" applyFont="0" applyFill="0" applyBorder="0" applyAlignment="0" applyProtection="0"/>
    <xf numFmtId="178" fontId="17" fillId="0" borderId="0" applyFont="0" applyFill="0" applyBorder="0" applyAlignment="0" applyProtection="0"/>
    <xf numFmtId="179" fontId="17" fillId="0" borderId="0" applyFont="0" applyFill="0" applyBorder="0" applyAlignment="0" applyProtection="0"/>
    <xf numFmtId="0" fontId="6" fillId="0" borderId="0">
      <alignment vertical="center"/>
    </xf>
    <xf numFmtId="43" fontId="6" fillId="0" borderId="0" applyFont="0" applyFill="0" applyBorder="0" applyAlignment="0" applyProtection="0">
      <alignment vertical="center"/>
    </xf>
    <xf numFmtId="41" fontId="6" fillId="0" borderId="0" applyFont="0" applyFill="0" applyBorder="0" applyAlignment="0" applyProtection="0">
      <alignment vertical="center"/>
    </xf>
    <xf numFmtId="44" fontId="6" fillId="0" borderId="0" applyFont="0" applyFill="0" applyBorder="0" applyAlignment="0" applyProtection="0">
      <alignment vertical="center"/>
    </xf>
    <xf numFmtId="9" fontId="6" fillId="0" borderId="0" applyFont="0" applyFill="0" applyBorder="0" applyAlignment="0" applyProtection="0">
      <alignment vertical="center"/>
    </xf>
    <xf numFmtId="43" fontId="6" fillId="0" borderId="0" applyFont="0" applyFill="0" applyBorder="0" applyAlignment="0" applyProtection="0">
      <alignment vertical="center"/>
    </xf>
    <xf numFmtId="43" fontId="6" fillId="0" borderId="0" applyFont="0" applyFill="0" applyBorder="0" applyAlignment="0" applyProtection="0">
      <alignment vertical="center"/>
    </xf>
    <xf numFmtId="43" fontId="6" fillId="0" borderId="0" applyFont="0" applyFill="0" applyBorder="0" applyAlignment="0" applyProtection="0">
      <alignment vertical="center"/>
    </xf>
    <xf numFmtId="44" fontId="6" fillId="0" borderId="0" applyFont="0" applyFill="0" applyBorder="0" applyAlignment="0" applyProtection="0">
      <alignment vertical="center"/>
    </xf>
    <xf numFmtId="44" fontId="6" fillId="0" borderId="0" applyFont="0" applyFill="0" applyBorder="0" applyAlignment="0" applyProtection="0">
      <alignment vertical="center"/>
    </xf>
    <xf numFmtId="43" fontId="6" fillId="0" borderId="0" applyFont="0" applyFill="0" applyBorder="0" applyAlignment="0" applyProtection="0">
      <alignment vertical="center"/>
    </xf>
    <xf numFmtId="44" fontId="6" fillId="0" borderId="0" applyFont="0" applyFill="0" applyBorder="0" applyAlignment="0" applyProtection="0">
      <alignment vertical="center"/>
    </xf>
    <xf numFmtId="44" fontId="6" fillId="0" borderId="0" applyFont="0" applyFill="0" applyBorder="0" applyAlignment="0" applyProtection="0">
      <alignment vertical="center"/>
    </xf>
    <xf numFmtId="43" fontId="6" fillId="0" borderId="0" applyFont="0" applyFill="0" applyBorder="0" applyAlignment="0" applyProtection="0">
      <alignment vertical="center"/>
    </xf>
    <xf numFmtId="44" fontId="6" fillId="0" borderId="0" applyFont="0" applyFill="0" applyBorder="0" applyAlignment="0" applyProtection="0">
      <alignment vertical="center"/>
    </xf>
    <xf numFmtId="0" fontId="6" fillId="0" borderId="0">
      <alignment vertical="center"/>
    </xf>
    <xf numFmtId="43" fontId="6" fillId="0" borderId="0" applyFont="0" applyFill="0" applyBorder="0" applyAlignment="0" applyProtection="0">
      <alignment vertical="center"/>
    </xf>
    <xf numFmtId="41" fontId="6" fillId="0" borderId="0" applyFont="0" applyFill="0" applyBorder="0" applyAlignment="0" applyProtection="0">
      <alignment vertical="center"/>
    </xf>
    <xf numFmtId="44" fontId="6" fillId="0" borderId="0" applyFont="0" applyFill="0" applyBorder="0" applyAlignment="0" applyProtection="0">
      <alignment vertical="center"/>
    </xf>
    <xf numFmtId="9" fontId="6" fillId="0" borderId="0" applyFont="0" applyFill="0" applyBorder="0" applyAlignment="0" applyProtection="0">
      <alignment vertical="center"/>
    </xf>
    <xf numFmtId="43" fontId="6" fillId="0" borderId="0" applyFont="0" applyFill="0" applyBorder="0" applyAlignment="0" applyProtection="0">
      <alignment vertical="center"/>
    </xf>
    <xf numFmtId="43" fontId="6" fillId="0" borderId="0" applyFont="0" applyFill="0" applyBorder="0" applyAlignment="0" applyProtection="0">
      <alignment vertical="center"/>
    </xf>
    <xf numFmtId="43" fontId="6" fillId="0" borderId="0" applyFont="0" applyFill="0" applyBorder="0" applyAlignment="0" applyProtection="0">
      <alignment vertical="center"/>
    </xf>
    <xf numFmtId="44" fontId="6" fillId="0" borderId="0" applyFont="0" applyFill="0" applyBorder="0" applyAlignment="0" applyProtection="0">
      <alignment vertical="center"/>
    </xf>
    <xf numFmtId="44" fontId="6" fillId="0" borderId="0" applyFont="0" applyFill="0" applyBorder="0" applyAlignment="0" applyProtection="0">
      <alignment vertical="center"/>
    </xf>
    <xf numFmtId="43" fontId="6" fillId="0" borderId="0" applyFont="0" applyFill="0" applyBorder="0" applyAlignment="0" applyProtection="0">
      <alignment vertical="center"/>
    </xf>
    <xf numFmtId="44" fontId="6" fillId="0" borderId="0" applyFont="0" applyFill="0" applyBorder="0" applyAlignment="0" applyProtection="0">
      <alignment vertical="center"/>
    </xf>
    <xf numFmtId="44" fontId="6" fillId="0" borderId="0" applyFont="0" applyFill="0" applyBorder="0" applyAlignment="0" applyProtection="0">
      <alignment vertical="center"/>
    </xf>
    <xf numFmtId="43" fontId="6" fillId="0" borderId="0" applyFont="0" applyFill="0" applyBorder="0" applyAlignment="0" applyProtection="0">
      <alignment vertical="center"/>
    </xf>
    <xf numFmtId="44" fontId="6" fillId="0" borderId="0" applyFont="0" applyFill="0" applyBorder="0" applyAlignment="0" applyProtection="0">
      <alignment vertical="center"/>
    </xf>
    <xf numFmtId="179" fontId="17" fillId="0" borderId="0" applyFont="0" applyFill="0" applyBorder="0" applyAlignment="0" applyProtection="0"/>
    <xf numFmtId="178" fontId="17" fillId="0" borderId="0" applyFont="0" applyFill="0" applyBorder="0" applyAlignment="0" applyProtection="0"/>
    <xf numFmtId="0" fontId="5" fillId="0" borderId="0">
      <alignment vertical="center"/>
    </xf>
    <xf numFmtId="43" fontId="5" fillId="0" borderId="0" applyFont="0" applyFill="0" applyBorder="0" applyAlignment="0" applyProtection="0">
      <alignment vertical="center"/>
    </xf>
    <xf numFmtId="41" fontId="5" fillId="0" borderId="0" applyFont="0" applyFill="0" applyBorder="0" applyAlignment="0" applyProtection="0">
      <alignment vertical="center"/>
    </xf>
    <xf numFmtId="44" fontId="5" fillId="0" borderId="0" applyFont="0" applyFill="0" applyBorder="0" applyAlignment="0" applyProtection="0">
      <alignment vertical="center"/>
    </xf>
    <xf numFmtId="9" fontId="5" fillId="0" borderId="0" applyFont="0" applyFill="0" applyBorder="0" applyAlignment="0" applyProtection="0">
      <alignment vertical="center"/>
    </xf>
    <xf numFmtId="43" fontId="5" fillId="0" borderId="0" applyFont="0" applyFill="0" applyBorder="0" applyAlignment="0" applyProtection="0">
      <alignment vertical="center"/>
    </xf>
    <xf numFmtId="43" fontId="5" fillId="0" borderId="0" applyFont="0" applyFill="0" applyBorder="0" applyAlignment="0" applyProtection="0">
      <alignment vertical="center"/>
    </xf>
    <xf numFmtId="43" fontId="5" fillId="0" borderId="0" applyFont="0" applyFill="0" applyBorder="0" applyAlignment="0" applyProtection="0">
      <alignment vertical="center"/>
    </xf>
    <xf numFmtId="44" fontId="5" fillId="0" borderId="0" applyFont="0" applyFill="0" applyBorder="0" applyAlignment="0" applyProtection="0">
      <alignment vertical="center"/>
    </xf>
    <xf numFmtId="44" fontId="5" fillId="0" borderId="0" applyFont="0" applyFill="0" applyBorder="0" applyAlignment="0" applyProtection="0">
      <alignment vertical="center"/>
    </xf>
    <xf numFmtId="43" fontId="5" fillId="0" borderId="0" applyFont="0" applyFill="0" applyBorder="0" applyAlignment="0" applyProtection="0">
      <alignment vertical="center"/>
    </xf>
    <xf numFmtId="44" fontId="5" fillId="0" borderId="0" applyFont="0" applyFill="0" applyBorder="0" applyAlignment="0" applyProtection="0">
      <alignment vertical="center"/>
    </xf>
    <xf numFmtId="44" fontId="5" fillId="0" borderId="0" applyFont="0" applyFill="0" applyBorder="0" applyAlignment="0" applyProtection="0">
      <alignment vertical="center"/>
    </xf>
    <xf numFmtId="43" fontId="5" fillId="0" borderId="0" applyFont="0" applyFill="0" applyBorder="0" applyAlignment="0" applyProtection="0">
      <alignment vertical="center"/>
    </xf>
    <xf numFmtId="44" fontId="5" fillId="0" borderId="0" applyFont="0" applyFill="0" applyBorder="0" applyAlignment="0" applyProtection="0">
      <alignment vertical="center"/>
    </xf>
    <xf numFmtId="0" fontId="5" fillId="0" borderId="0">
      <alignment vertical="center"/>
    </xf>
    <xf numFmtId="43" fontId="5" fillId="0" borderId="0" applyFont="0" applyFill="0" applyBorder="0" applyAlignment="0" applyProtection="0">
      <alignment vertical="center"/>
    </xf>
    <xf numFmtId="41" fontId="5" fillId="0" borderId="0" applyFont="0" applyFill="0" applyBorder="0" applyAlignment="0" applyProtection="0">
      <alignment vertical="center"/>
    </xf>
    <xf numFmtId="44" fontId="5" fillId="0" borderId="0" applyFont="0" applyFill="0" applyBorder="0" applyAlignment="0" applyProtection="0">
      <alignment vertical="center"/>
    </xf>
    <xf numFmtId="9" fontId="5" fillId="0" borderId="0" applyFont="0" applyFill="0" applyBorder="0" applyAlignment="0" applyProtection="0">
      <alignment vertical="center"/>
    </xf>
    <xf numFmtId="43" fontId="5" fillId="0" borderId="0" applyFont="0" applyFill="0" applyBorder="0" applyAlignment="0" applyProtection="0">
      <alignment vertical="center"/>
    </xf>
    <xf numFmtId="43" fontId="5" fillId="0" borderId="0" applyFont="0" applyFill="0" applyBorder="0" applyAlignment="0" applyProtection="0">
      <alignment vertical="center"/>
    </xf>
    <xf numFmtId="43" fontId="5" fillId="0" borderId="0" applyFont="0" applyFill="0" applyBorder="0" applyAlignment="0" applyProtection="0">
      <alignment vertical="center"/>
    </xf>
    <xf numFmtId="44" fontId="5" fillId="0" borderId="0" applyFont="0" applyFill="0" applyBorder="0" applyAlignment="0" applyProtection="0">
      <alignment vertical="center"/>
    </xf>
    <xf numFmtId="44" fontId="5" fillId="0" borderId="0" applyFont="0" applyFill="0" applyBorder="0" applyAlignment="0" applyProtection="0">
      <alignment vertical="center"/>
    </xf>
    <xf numFmtId="43" fontId="5" fillId="0" borderId="0" applyFont="0" applyFill="0" applyBorder="0" applyAlignment="0" applyProtection="0">
      <alignment vertical="center"/>
    </xf>
    <xf numFmtId="44" fontId="5" fillId="0" borderId="0" applyFont="0" applyFill="0" applyBorder="0" applyAlignment="0" applyProtection="0">
      <alignment vertical="center"/>
    </xf>
    <xf numFmtId="44" fontId="5" fillId="0" borderId="0" applyFont="0" applyFill="0" applyBorder="0" applyAlignment="0" applyProtection="0">
      <alignment vertical="center"/>
    </xf>
    <xf numFmtId="43" fontId="5" fillId="0" borderId="0" applyFont="0" applyFill="0" applyBorder="0" applyAlignment="0" applyProtection="0">
      <alignment vertical="center"/>
    </xf>
    <xf numFmtId="44" fontId="5" fillId="0" borderId="0" applyFont="0" applyFill="0" applyBorder="0" applyAlignment="0" applyProtection="0">
      <alignment vertical="center"/>
    </xf>
    <xf numFmtId="0" fontId="13" fillId="0" borderId="0"/>
    <xf numFmtId="9" fontId="26" fillId="0" borderId="0" applyFont="0" applyFill="0" applyBorder="0" applyAlignment="0" applyProtection="0"/>
    <xf numFmtId="43" fontId="13" fillId="0" borderId="0" applyFont="0" applyFill="0" applyBorder="0" applyAlignment="0" applyProtection="0"/>
    <xf numFmtId="43" fontId="17"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43" fontId="84" fillId="0" borderId="0" applyFont="0" applyFill="0" applyBorder="0" applyAlignment="0" applyProtection="0"/>
    <xf numFmtId="43" fontId="13" fillId="0" borderId="0" applyFont="0" applyFill="0" applyBorder="0" applyAlignment="0" applyProtection="0"/>
    <xf numFmtId="43" fontId="13"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13" fillId="0" borderId="0"/>
    <xf numFmtId="0" fontId="13" fillId="0" borderId="0"/>
    <xf numFmtId="0" fontId="13" fillId="0" borderId="0"/>
    <xf numFmtId="0" fontId="91" fillId="0" borderId="0"/>
    <xf numFmtId="0" fontId="13" fillId="0" borderId="0"/>
    <xf numFmtId="0" fontId="4" fillId="0" borderId="0">
      <alignment vertical="center"/>
    </xf>
    <xf numFmtId="41" fontId="4" fillId="0" borderId="0" applyFont="0" applyFill="0" applyBorder="0" applyAlignment="0" applyProtection="0">
      <alignment vertical="center"/>
    </xf>
    <xf numFmtId="9" fontId="4" fillId="0" borderId="0" applyFont="0" applyFill="0" applyBorder="0" applyAlignment="0" applyProtection="0">
      <alignment vertical="center"/>
    </xf>
    <xf numFmtId="44" fontId="4" fillId="0" borderId="0" applyFont="0" applyFill="0" applyBorder="0" applyAlignment="0" applyProtection="0">
      <alignment vertical="center"/>
    </xf>
    <xf numFmtId="44" fontId="4" fillId="0" borderId="0" applyFont="0" applyFill="0" applyBorder="0" applyAlignment="0" applyProtection="0">
      <alignment vertical="center"/>
    </xf>
    <xf numFmtId="43" fontId="4" fillId="0" borderId="0" applyFont="0" applyFill="0" applyBorder="0" applyAlignment="0" applyProtection="0">
      <alignment vertical="center"/>
    </xf>
    <xf numFmtId="9" fontId="4" fillId="0" borderId="0" applyFont="0" applyFill="0" applyBorder="0" applyAlignment="0" applyProtection="0">
      <alignment vertical="center"/>
    </xf>
    <xf numFmtId="0" fontId="92" fillId="0" borderId="0"/>
    <xf numFmtId="0" fontId="92" fillId="0" borderId="0"/>
    <xf numFmtId="0" fontId="20" fillId="0" borderId="0"/>
    <xf numFmtId="0" fontId="92" fillId="0" borderId="0"/>
    <xf numFmtId="0" fontId="91" fillId="0" borderId="0"/>
    <xf numFmtId="0" fontId="91" fillId="0" borderId="0"/>
    <xf numFmtId="0" fontId="13" fillId="0" borderId="0"/>
    <xf numFmtId="0" fontId="91" fillId="0" borderId="0"/>
    <xf numFmtId="0" fontId="91" fillId="0" borderId="0"/>
    <xf numFmtId="0" fontId="91" fillId="0" borderId="0"/>
    <xf numFmtId="0" fontId="13" fillId="0" borderId="0"/>
    <xf numFmtId="0" fontId="91" fillId="0" borderId="0"/>
    <xf numFmtId="0" fontId="91" fillId="0" borderId="0"/>
    <xf numFmtId="0" fontId="91" fillId="0" borderId="0"/>
    <xf numFmtId="0" fontId="13" fillId="0" borderId="0"/>
    <xf numFmtId="0" fontId="91" fillId="0" borderId="0"/>
    <xf numFmtId="0" fontId="20" fillId="0" borderId="0"/>
    <xf numFmtId="0" fontId="22" fillId="0" borderId="0"/>
    <xf numFmtId="0" fontId="22" fillId="0" borderId="0"/>
    <xf numFmtId="0" fontId="93" fillId="0" borderId="0"/>
    <xf numFmtId="0" fontId="93" fillId="0" borderId="0"/>
    <xf numFmtId="0" fontId="20" fillId="0" borderId="0"/>
    <xf numFmtId="0" fontId="93" fillId="0" borderId="0"/>
    <xf numFmtId="9" fontId="15" fillId="0" borderId="0" applyFont="0" applyFill="0" applyBorder="0" applyAlignment="0" applyProtection="0"/>
    <xf numFmtId="9" fontId="12" fillId="0" borderId="0" applyFont="0" applyFill="0" applyBorder="0" applyAlignment="0" applyProtection="0">
      <alignment vertical="center"/>
    </xf>
    <xf numFmtId="9" fontId="15" fillId="0" borderId="0" applyFont="0" applyFill="0" applyBorder="0" applyAlignment="0" applyProtection="0"/>
    <xf numFmtId="41" fontId="12" fillId="0" borderId="0" applyFont="0" applyFill="0" applyBorder="0" applyAlignment="0" applyProtection="0">
      <alignment vertical="center"/>
    </xf>
    <xf numFmtId="179" fontId="17" fillId="0" borderId="0" applyFont="0" applyFill="0" applyBorder="0" applyAlignment="0" applyProtection="0"/>
    <xf numFmtId="179" fontId="17" fillId="0" borderId="0" applyFont="0" applyFill="0" applyBorder="0" applyAlignment="0" applyProtection="0"/>
    <xf numFmtId="179" fontId="17" fillId="0" borderId="0" applyFont="0" applyFill="0" applyBorder="0" applyAlignment="0" applyProtection="0"/>
    <xf numFmtId="179" fontId="17" fillId="0" borderId="0" applyFont="0" applyFill="0" applyBorder="0" applyAlignment="0" applyProtection="0"/>
    <xf numFmtId="179" fontId="17" fillId="0" borderId="0" applyFont="0" applyFill="0" applyBorder="0" applyAlignment="0" applyProtection="0"/>
    <xf numFmtId="179" fontId="17" fillId="0" borderId="0" applyFont="0" applyFill="0" applyBorder="0" applyAlignment="0" applyProtection="0"/>
    <xf numFmtId="179" fontId="17" fillId="0" borderId="0" applyFont="0" applyFill="0" applyBorder="0" applyAlignment="0" applyProtection="0"/>
    <xf numFmtId="179" fontId="17" fillId="0" borderId="0" applyFont="0" applyFill="0" applyBorder="0" applyAlignment="0" applyProtection="0"/>
    <xf numFmtId="179" fontId="17" fillId="0" borderId="0" applyFont="0" applyFill="0" applyBorder="0" applyAlignment="0" applyProtection="0"/>
    <xf numFmtId="179" fontId="17" fillId="0" borderId="0" applyFont="0" applyFill="0" applyBorder="0" applyAlignment="0" applyProtection="0"/>
    <xf numFmtId="179" fontId="17" fillId="0" borderId="0" applyFont="0" applyFill="0" applyBorder="0" applyAlignment="0" applyProtection="0"/>
    <xf numFmtId="179" fontId="17" fillId="0" borderId="0" applyFont="0" applyFill="0" applyBorder="0" applyAlignment="0" applyProtection="0"/>
    <xf numFmtId="179" fontId="17" fillId="0" borderId="0" applyFont="0" applyFill="0" applyBorder="0" applyAlignment="0" applyProtection="0"/>
    <xf numFmtId="179" fontId="17" fillId="0" borderId="0" applyFont="0" applyFill="0" applyBorder="0" applyAlignment="0" applyProtection="0"/>
    <xf numFmtId="179" fontId="17" fillId="0" borderId="0" applyFont="0" applyFill="0" applyBorder="0" applyAlignment="0" applyProtection="0"/>
    <xf numFmtId="179" fontId="17" fillId="0" borderId="0" applyFont="0" applyFill="0" applyBorder="0" applyAlignment="0" applyProtection="0"/>
    <xf numFmtId="179" fontId="17" fillId="0" borderId="0" applyFont="0" applyFill="0" applyBorder="0" applyAlignment="0" applyProtection="0"/>
    <xf numFmtId="179" fontId="17" fillId="0" borderId="0" applyFont="0" applyFill="0" applyBorder="0" applyAlignment="0" applyProtection="0"/>
    <xf numFmtId="179" fontId="17" fillId="0" borderId="0" applyFont="0" applyFill="0" applyBorder="0" applyAlignment="0" applyProtection="0"/>
    <xf numFmtId="179" fontId="17" fillId="0" borderId="0" applyFont="0" applyFill="0" applyBorder="0" applyAlignment="0" applyProtection="0"/>
    <xf numFmtId="179" fontId="17" fillId="0" borderId="0" applyFont="0" applyFill="0" applyBorder="0" applyAlignment="0" applyProtection="0"/>
    <xf numFmtId="179" fontId="17" fillId="0" borderId="0" applyFont="0" applyFill="0" applyBorder="0" applyAlignment="0" applyProtection="0"/>
    <xf numFmtId="179" fontId="17" fillId="0" borderId="0" applyFont="0" applyFill="0" applyBorder="0" applyAlignment="0" applyProtection="0"/>
    <xf numFmtId="178" fontId="17" fillId="0" borderId="0" applyFont="0" applyFill="0" applyBorder="0" applyAlignment="0" applyProtection="0"/>
    <xf numFmtId="178" fontId="17" fillId="0" borderId="0" applyFont="0" applyFill="0" applyBorder="0" applyAlignment="0" applyProtection="0"/>
    <xf numFmtId="178" fontId="17" fillId="0" borderId="0" applyFont="0" applyFill="0" applyBorder="0" applyAlignment="0" applyProtection="0"/>
    <xf numFmtId="178" fontId="17" fillId="0" borderId="0" applyFont="0" applyFill="0" applyBorder="0" applyAlignment="0" applyProtection="0"/>
    <xf numFmtId="178" fontId="17" fillId="0" borderId="0" applyFont="0" applyFill="0" applyBorder="0" applyAlignment="0" applyProtection="0"/>
    <xf numFmtId="178" fontId="17" fillId="0" borderId="0" applyFont="0" applyFill="0" applyBorder="0" applyAlignment="0" applyProtection="0"/>
    <xf numFmtId="178" fontId="17" fillId="0" borderId="0" applyFont="0" applyFill="0" applyBorder="0" applyAlignment="0" applyProtection="0"/>
    <xf numFmtId="178" fontId="17" fillId="0" borderId="0" applyFont="0" applyFill="0" applyBorder="0" applyAlignment="0" applyProtection="0"/>
    <xf numFmtId="178" fontId="17" fillId="0" borderId="0" applyFont="0" applyFill="0" applyBorder="0" applyAlignment="0" applyProtection="0"/>
    <xf numFmtId="178" fontId="17" fillId="0" borderId="0" applyFont="0" applyFill="0" applyBorder="0" applyAlignment="0" applyProtection="0"/>
    <xf numFmtId="178" fontId="17" fillId="0" borderId="0" applyFont="0" applyFill="0" applyBorder="0" applyAlignment="0" applyProtection="0"/>
    <xf numFmtId="178" fontId="17" fillId="0" borderId="0" applyFont="0" applyFill="0" applyBorder="0" applyAlignment="0" applyProtection="0"/>
    <xf numFmtId="178" fontId="17" fillId="0" borderId="0" applyFont="0" applyFill="0" applyBorder="0" applyAlignment="0" applyProtection="0"/>
    <xf numFmtId="178" fontId="17" fillId="0" borderId="0" applyFont="0" applyFill="0" applyBorder="0" applyAlignment="0" applyProtection="0"/>
    <xf numFmtId="178" fontId="17" fillId="0" borderId="0" applyFont="0" applyFill="0" applyBorder="0" applyAlignment="0" applyProtection="0"/>
    <xf numFmtId="178" fontId="17" fillId="0" borderId="0" applyFont="0" applyFill="0" applyBorder="0" applyAlignment="0" applyProtection="0"/>
    <xf numFmtId="178" fontId="17" fillId="0" borderId="0" applyFont="0" applyFill="0" applyBorder="0" applyAlignment="0" applyProtection="0"/>
    <xf numFmtId="178" fontId="17" fillId="0" borderId="0" applyFont="0" applyFill="0" applyBorder="0" applyAlignment="0" applyProtection="0"/>
    <xf numFmtId="178" fontId="17" fillId="0" borderId="0" applyFont="0" applyFill="0" applyBorder="0" applyAlignment="0" applyProtection="0"/>
    <xf numFmtId="178" fontId="17" fillId="0" borderId="0" applyFont="0" applyFill="0" applyBorder="0" applyAlignment="0" applyProtection="0"/>
    <xf numFmtId="178" fontId="17" fillId="0" borderId="0" applyFont="0" applyFill="0" applyBorder="0" applyAlignment="0" applyProtection="0"/>
    <xf numFmtId="178" fontId="17" fillId="0" borderId="0" applyFont="0" applyFill="0" applyBorder="0" applyAlignment="0" applyProtection="0"/>
    <xf numFmtId="178" fontId="17" fillId="0" borderId="0" applyFont="0" applyFill="0" applyBorder="0" applyAlignment="0" applyProtection="0"/>
    <xf numFmtId="0" fontId="13" fillId="0" borderId="0"/>
    <xf numFmtId="0" fontId="91"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4" fillId="0" borderId="0">
      <alignment vertical="center"/>
    </xf>
    <xf numFmtId="0" fontId="13" fillId="0" borderId="0"/>
    <xf numFmtId="0" fontId="13" fillId="0" borderId="0"/>
    <xf numFmtId="0" fontId="13" fillId="0" borderId="0"/>
    <xf numFmtId="0" fontId="13" fillId="0" borderId="0"/>
    <xf numFmtId="0" fontId="95" fillId="0" borderId="0"/>
    <xf numFmtId="178" fontId="95" fillId="0" borderId="0" applyFont="0" applyFill="0" applyBorder="0" applyAlignment="0" applyProtection="0"/>
    <xf numFmtId="0" fontId="96" fillId="0" borderId="0"/>
    <xf numFmtId="0" fontId="95" fillId="0" borderId="0"/>
    <xf numFmtId="178" fontId="95" fillId="0" borderId="0" applyFont="0" applyFill="0" applyBorder="0" applyAlignment="0" applyProtection="0"/>
    <xf numFmtId="9" fontId="95" fillId="0" borderId="0" applyFont="0" applyFill="0" applyBorder="0" applyAlignment="0" applyProtection="0">
      <alignment vertical="center"/>
    </xf>
    <xf numFmtId="178" fontId="95" fillId="0" borderId="0" applyFont="0" applyFill="0" applyBorder="0" applyAlignment="0" applyProtection="0"/>
    <xf numFmtId="178" fontId="95" fillId="0" borderId="0" applyFont="0" applyFill="0" applyBorder="0" applyAlignment="0" applyProtection="0"/>
    <xf numFmtId="0" fontId="3" fillId="0" borderId="0">
      <alignment vertical="center"/>
    </xf>
  </cellStyleXfs>
  <cellXfs count="38">
    <xf numFmtId="0" fontId="0" fillId="0" borderId="0" xfId="0">
      <alignment vertical="center"/>
    </xf>
    <xf numFmtId="181" fontId="0" fillId="0" borderId="0" xfId="0" applyNumberFormat="1" applyAlignment="1">
      <alignment horizontal="center" vertical="center"/>
    </xf>
    <xf numFmtId="9" fontId="13" fillId="0" borderId="0" xfId="1" applyFont="1">
      <alignment vertical="center"/>
    </xf>
    <xf numFmtId="0" fontId="82" fillId="0" borderId="0" xfId="0" applyFont="1">
      <alignment vertical="center"/>
    </xf>
    <xf numFmtId="0" fontId="87" fillId="58" borderId="1" xfId="1785" applyFont="1" applyFill="1" applyBorder="1" applyAlignment="1">
      <alignment horizontal="center" vertical="center"/>
    </xf>
    <xf numFmtId="181" fontId="87" fillId="58" borderId="1" xfId="1785" applyNumberFormat="1" applyFont="1" applyFill="1" applyBorder="1" applyAlignment="1">
      <alignment horizontal="center" vertical="center"/>
    </xf>
    <xf numFmtId="41" fontId="87" fillId="58" borderId="1" xfId="1787" applyFont="1" applyFill="1" applyBorder="1" applyAlignment="1">
      <alignment horizontal="center" vertical="center"/>
    </xf>
    <xf numFmtId="192" fontId="87" fillId="58" borderId="1" xfId="1785" applyNumberFormat="1" applyFont="1" applyFill="1" applyBorder="1" applyAlignment="1">
      <alignment horizontal="center" vertical="center"/>
    </xf>
    <xf numFmtId="0" fontId="87" fillId="58" borderId="1" xfId="1785" applyFont="1" applyFill="1" applyBorder="1" applyAlignment="1">
      <alignment horizontal="center" vertical="center" wrapText="1"/>
    </xf>
    <xf numFmtId="9" fontId="87" fillId="58" borderId="1" xfId="1789" applyFont="1" applyFill="1" applyBorder="1" applyAlignment="1">
      <alignment horizontal="center" vertical="center"/>
    </xf>
    <xf numFmtId="178" fontId="0" fillId="0" borderId="1" xfId="1788" applyNumberFormat="1" applyFont="1" applyBorder="1">
      <alignment vertical="center"/>
    </xf>
    <xf numFmtId="9" fontId="0" fillId="0" borderId="1" xfId="1789" applyFont="1" applyBorder="1" applyAlignment="1">
      <alignment horizontal="center" vertical="center"/>
    </xf>
    <xf numFmtId="41" fontId="89" fillId="0" borderId="1" xfId="1787" applyFont="1" applyBorder="1" applyAlignment="1">
      <alignment horizontal="center" vertical="center"/>
    </xf>
    <xf numFmtId="178" fontId="0" fillId="0" borderId="1" xfId="1795" applyNumberFormat="1" applyFont="1" applyBorder="1">
      <alignment vertical="center"/>
    </xf>
    <xf numFmtId="193" fontId="0" fillId="0" borderId="1" xfId="1785" applyNumberFormat="1" applyFont="1" applyBorder="1">
      <alignment vertical="center"/>
    </xf>
    <xf numFmtId="194" fontId="0" fillId="0" borderId="1" xfId="1786" applyNumberFormat="1" applyFont="1" applyBorder="1">
      <alignment vertical="center"/>
    </xf>
    <xf numFmtId="193" fontId="0" fillId="0" borderId="1" xfId="1786" applyNumberFormat="1" applyFont="1" applyBorder="1">
      <alignment vertical="center"/>
    </xf>
    <xf numFmtId="192" fontId="0" fillId="0" borderId="1" xfId="1789" applyNumberFormat="1" applyFont="1" applyBorder="1">
      <alignment vertical="center"/>
    </xf>
    <xf numFmtId="9" fontId="0" fillId="0" borderId="0" xfId="1" applyFont="1">
      <alignment vertical="center"/>
    </xf>
    <xf numFmtId="0" fontId="88" fillId="0" borderId="1" xfId="2" applyFont="1" applyBorder="1">
      <alignment vertical="center"/>
    </xf>
    <xf numFmtId="181" fontId="12" fillId="0" borderId="1" xfId="3" applyNumberFormat="1" applyFont="1" applyBorder="1" applyAlignment="1">
      <alignment horizontal="center" vertical="center"/>
    </xf>
    <xf numFmtId="180" fontId="12" fillId="0" borderId="1" xfId="3" applyNumberFormat="1" applyFont="1" applyBorder="1">
      <alignment vertical="center"/>
    </xf>
    <xf numFmtId="192" fontId="12" fillId="0" borderId="1" xfId="0" applyNumberFormat="1" applyFont="1" applyBorder="1">
      <alignment vertical="center"/>
    </xf>
    <xf numFmtId="41" fontId="89" fillId="0" borderId="22" xfId="1787" applyFont="1" applyBorder="1" applyAlignment="1">
      <alignment horizontal="center" vertical="center"/>
    </xf>
    <xf numFmtId="193" fontId="90" fillId="59" borderId="1" xfId="1785" applyNumberFormat="1" applyFont="1" applyFill="1" applyBorder="1">
      <alignment vertical="center"/>
    </xf>
    <xf numFmtId="192" fontId="90" fillId="59" borderId="1" xfId="1789" applyNumberFormat="1" applyFont="1" applyFill="1" applyBorder="1">
      <alignment vertical="center"/>
    </xf>
    <xf numFmtId="178" fontId="90" fillId="59" borderId="1" xfId="1785" applyNumberFormat="1" applyFont="1" applyFill="1" applyBorder="1">
      <alignment vertical="center"/>
    </xf>
    <xf numFmtId="0" fontId="94" fillId="0" borderId="0" xfId="0" applyFont="1">
      <alignment vertical="center"/>
    </xf>
    <xf numFmtId="9" fontId="13" fillId="0" borderId="0" xfId="1" applyFont="1" applyBorder="1">
      <alignment vertical="center"/>
    </xf>
    <xf numFmtId="192" fontId="0" fillId="0" borderId="0" xfId="1789" applyNumberFormat="1" applyFont="1" applyBorder="1">
      <alignment vertical="center"/>
    </xf>
    <xf numFmtId="192" fontId="89" fillId="0" borderId="0" xfId="1789" applyNumberFormat="1" applyFont="1" applyBorder="1">
      <alignment vertical="center"/>
    </xf>
    <xf numFmtId="9" fontId="87" fillId="58" borderId="0" xfId="1789" applyFont="1" applyFill="1" applyBorder="1" applyAlignment="1">
      <alignment horizontal="center" vertical="center"/>
    </xf>
    <xf numFmtId="192" fontId="90" fillId="59" borderId="0" xfId="1789" applyNumberFormat="1" applyFont="1" applyFill="1" applyBorder="1">
      <alignment vertical="center"/>
    </xf>
    <xf numFmtId="0" fontId="2" fillId="0" borderId="1" xfId="1785" applyFont="1" applyBorder="1">
      <alignment vertical="center"/>
    </xf>
    <xf numFmtId="0" fontId="2" fillId="0" borderId="1" xfId="1785" applyFont="1" applyBorder="1" applyAlignment="1">
      <alignment horizontal="center" vertical="center"/>
    </xf>
    <xf numFmtId="0" fontId="2" fillId="0" borderId="0" xfId="1785" applyFont="1">
      <alignment vertical="center"/>
    </xf>
    <xf numFmtId="0" fontId="2" fillId="0" borderId="0" xfId="1785" applyFont="1" applyAlignment="1">
      <alignment horizontal="center" vertical="center"/>
    </xf>
    <xf numFmtId="0" fontId="2" fillId="0" borderId="1" xfId="1785" applyFont="1" applyBorder="1" applyAlignment="1">
      <alignment horizontal="center" vertical="center"/>
    </xf>
  </cellXfs>
  <cellStyles count="3026">
    <cellStyle name=" 1" xfId="5" xr:uid="{00000000-0005-0000-0000-000000000000}"/>
    <cellStyle name="_Account Total" xfId="6" xr:uid="{00000000-0005-0000-0000-000001000000}"/>
    <cellStyle name="_Book1" xfId="7" xr:uid="{00000000-0005-0000-0000-000002000000}"/>
    <cellStyle name="_Book1 2" xfId="8" xr:uid="{00000000-0005-0000-0000-000003000000}"/>
    <cellStyle name="_Book1 2_FY09_8월 가격표_ISS" xfId="9" xr:uid="{00000000-0005-0000-0000-000004000000}"/>
    <cellStyle name="_Book1 3" xfId="10" xr:uid="{00000000-0005-0000-0000-000005000000}"/>
    <cellStyle name="_Book1 3_FY09_8월 가격표_ISS" xfId="11" xr:uid="{00000000-0005-0000-0000-000006000000}"/>
    <cellStyle name="_Book1 4" xfId="12" xr:uid="{00000000-0005-0000-0000-000007000000}"/>
    <cellStyle name="_Book1 4_FY09_8월 가격표_ISS" xfId="13" xr:uid="{00000000-0005-0000-0000-000008000000}"/>
    <cellStyle name="_Book1 5" xfId="14" xr:uid="{00000000-0005-0000-0000-000009000000}"/>
    <cellStyle name="_Book1 5_FY09_8월 가격표_ISS" xfId="15" xr:uid="{00000000-0005-0000-0000-00000A000000}"/>
    <cellStyle name="_Book1 6" xfId="16" xr:uid="{00000000-0005-0000-0000-00000B000000}"/>
    <cellStyle name="_Book1 6_FY09_8월 가격표_ISS" xfId="17" xr:uid="{00000000-0005-0000-0000-00000C000000}"/>
    <cellStyle name="_Book1 7" xfId="18" xr:uid="{00000000-0005-0000-0000-00000D000000}"/>
    <cellStyle name="_Book1 7_FY09_8월 가격표_ISS" xfId="19" xr:uid="{00000000-0005-0000-0000-00000E000000}"/>
    <cellStyle name="_Book1 8" xfId="20" xr:uid="{00000000-0005-0000-0000-00000F000000}"/>
    <cellStyle name="_Book1 8_FY09_8월 가격표_ISS" xfId="21" xr:uid="{00000000-0005-0000-0000-000010000000}"/>
    <cellStyle name="_Book1 9" xfId="22" xr:uid="{00000000-0005-0000-0000-000011000000}"/>
    <cellStyle name="_Book1 9_FY09_8월 가격표_ISS" xfId="23" xr:uid="{00000000-0005-0000-0000-000012000000}"/>
    <cellStyle name="_Book1_ISS_FY08_10월가격표_final013xls" xfId="24" xr:uid="{00000000-0005-0000-0000-000013000000}"/>
    <cellStyle name="_Book1_ISS_FY08_10월가격표_final013xls 2" xfId="25" xr:uid="{00000000-0005-0000-0000-000014000000}"/>
    <cellStyle name="_Book1_ISS_FY08_10월가격표_final013xls 2_FY09_8월 가격표_ISS" xfId="26" xr:uid="{00000000-0005-0000-0000-000015000000}"/>
    <cellStyle name="_Book1_ISS_FY08_10월가격표_final013xls 3" xfId="27" xr:uid="{00000000-0005-0000-0000-000016000000}"/>
    <cellStyle name="_Book1_ISS_FY08_10월가격표_final013xls 3_FY09_8월 가격표_ISS" xfId="28" xr:uid="{00000000-0005-0000-0000-000017000000}"/>
    <cellStyle name="_Book1_ISS_FY08_10월가격표_final013xls 4" xfId="29" xr:uid="{00000000-0005-0000-0000-000018000000}"/>
    <cellStyle name="_Book1_ISS_FY08_10월가격표_final013xls 4_FY09_8월 가격표_ISS" xfId="30" xr:uid="{00000000-0005-0000-0000-000019000000}"/>
    <cellStyle name="_Book1_ISS_FY08_10월가격표_final013xls 5" xfId="31" xr:uid="{00000000-0005-0000-0000-00001A000000}"/>
    <cellStyle name="_Book1_ISS_FY08_10월가격표_final013xls 5_FY09_8월 가격표_ISS" xfId="32" xr:uid="{00000000-0005-0000-0000-00001B000000}"/>
    <cellStyle name="_Book1_ISS_FY08_10월가격표_final013xls 6" xfId="33" xr:uid="{00000000-0005-0000-0000-00001C000000}"/>
    <cellStyle name="_Book1_ISS_FY08_10월가격표_final013xls 6_FY09_8월 가격표_ISS" xfId="34" xr:uid="{00000000-0005-0000-0000-00001D000000}"/>
    <cellStyle name="_Book1_ISS_FY08_10월가격표_final013xls 7" xfId="35" xr:uid="{00000000-0005-0000-0000-00001E000000}"/>
    <cellStyle name="_Book1_ISS_FY08_10월가격표_final013xls 7_FY09_8월 가격표_ISS" xfId="36" xr:uid="{00000000-0005-0000-0000-00001F000000}"/>
    <cellStyle name="_Book1_ISS_FY08_10월가격표_final013xls 8" xfId="37" xr:uid="{00000000-0005-0000-0000-000020000000}"/>
    <cellStyle name="_Book1_ISS_FY08_10월가격표_final013xls 8_FY09_8월 가격표_ISS" xfId="38" xr:uid="{00000000-0005-0000-0000-000021000000}"/>
    <cellStyle name="_Book1_ISS_FY08_10월가격표_final013xls 9" xfId="39" xr:uid="{00000000-0005-0000-0000-000022000000}"/>
    <cellStyle name="_Book1_ISS_FY08_10월가격표_final013xls 9_FY09_8월 가격표_ISS" xfId="40" xr:uid="{00000000-0005-0000-0000-000023000000}"/>
    <cellStyle name="_Book13" xfId="41" xr:uid="{00000000-0005-0000-0000-000024000000}"/>
    <cellStyle name="_Book13 2" xfId="42" xr:uid="{00000000-0005-0000-0000-000025000000}"/>
    <cellStyle name="_Book13 2_FY09_8월 가격표_ISS" xfId="43" xr:uid="{00000000-0005-0000-0000-000026000000}"/>
    <cellStyle name="_Book13 3" xfId="44" xr:uid="{00000000-0005-0000-0000-000027000000}"/>
    <cellStyle name="_Book13 3_FY09_8월 가격표_ISS" xfId="45" xr:uid="{00000000-0005-0000-0000-000028000000}"/>
    <cellStyle name="_Book13 4" xfId="46" xr:uid="{00000000-0005-0000-0000-000029000000}"/>
    <cellStyle name="_Book13 4_FY09_8월 가격표_ISS" xfId="47" xr:uid="{00000000-0005-0000-0000-00002A000000}"/>
    <cellStyle name="_Book13 5" xfId="48" xr:uid="{00000000-0005-0000-0000-00002B000000}"/>
    <cellStyle name="_Book13 5_FY09_8월 가격표_ISS" xfId="49" xr:uid="{00000000-0005-0000-0000-00002C000000}"/>
    <cellStyle name="_Book13 6" xfId="50" xr:uid="{00000000-0005-0000-0000-00002D000000}"/>
    <cellStyle name="_Book13 6_FY09_8월 가격표_ISS" xfId="51" xr:uid="{00000000-0005-0000-0000-00002E000000}"/>
    <cellStyle name="_Book13 7" xfId="52" xr:uid="{00000000-0005-0000-0000-00002F000000}"/>
    <cellStyle name="_Book13 7_FY09_8월 가격표_ISS" xfId="53" xr:uid="{00000000-0005-0000-0000-000030000000}"/>
    <cellStyle name="_Book13 8" xfId="54" xr:uid="{00000000-0005-0000-0000-000031000000}"/>
    <cellStyle name="_Book13 8_FY09_8월 가격표_ISS" xfId="55" xr:uid="{00000000-0005-0000-0000-000032000000}"/>
    <cellStyle name="_Book13 9" xfId="56" xr:uid="{00000000-0005-0000-0000-000033000000}"/>
    <cellStyle name="_Book13 9_FY09_8월 가격표_ISS" xfId="57" xr:uid="{00000000-0005-0000-0000-000034000000}"/>
    <cellStyle name="_Book13_ISS_FY08_10월가격표_final013xls" xfId="58" xr:uid="{00000000-0005-0000-0000-000035000000}"/>
    <cellStyle name="_Book13_ISS_FY08_10월가격표_final013xls 2" xfId="59" xr:uid="{00000000-0005-0000-0000-000036000000}"/>
    <cellStyle name="_Book13_ISS_FY08_10월가격표_final013xls 2_FY09_8월 가격표_ISS" xfId="60" xr:uid="{00000000-0005-0000-0000-000037000000}"/>
    <cellStyle name="_Book13_ISS_FY08_10월가격표_final013xls 3" xfId="61" xr:uid="{00000000-0005-0000-0000-000038000000}"/>
    <cellStyle name="_Book13_ISS_FY08_10월가격표_final013xls 3_FY09_8월 가격표_ISS" xfId="62" xr:uid="{00000000-0005-0000-0000-000039000000}"/>
    <cellStyle name="_Book13_ISS_FY08_10월가격표_final013xls 4" xfId="63" xr:uid="{00000000-0005-0000-0000-00003A000000}"/>
    <cellStyle name="_Book13_ISS_FY08_10월가격표_final013xls 4_FY09_8월 가격표_ISS" xfId="64" xr:uid="{00000000-0005-0000-0000-00003B000000}"/>
    <cellStyle name="_Book13_ISS_FY08_10월가격표_final013xls 5" xfId="65" xr:uid="{00000000-0005-0000-0000-00003C000000}"/>
    <cellStyle name="_Book13_ISS_FY08_10월가격표_final013xls 5_FY09_8월 가격표_ISS" xfId="66" xr:uid="{00000000-0005-0000-0000-00003D000000}"/>
    <cellStyle name="_Book13_ISS_FY08_10월가격표_final013xls 6" xfId="67" xr:uid="{00000000-0005-0000-0000-00003E000000}"/>
    <cellStyle name="_Book13_ISS_FY08_10월가격표_final013xls 6_FY09_8월 가격표_ISS" xfId="68" xr:uid="{00000000-0005-0000-0000-00003F000000}"/>
    <cellStyle name="_Book13_ISS_FY08_10월가격표_final013xls 7" xfId="69" xr:uid="{00000000-0005-0000-0000-000040000000}"/>
    <cellStyle name="_Book13_ISS_FY08_10월가격표_final013xls 7_FY09_8월 가격표_ISS" xfId="70" xr:uid="{00000000-0005-0000-0000-000041000000}"/>
    <cellStyle name="_Book13_ISS_FY08_10월가격표_final013xls 8" xfId="71" xr:uid="{00000000-0005-0000-0000-000042000000}"/>
    <cellStyle name="_Book13_ISS_FY08_10월가격표_final013xls 8_FY09_8월 가격표_ISS" xfId="72" xr:uid="{00000000-0005-0000-0000-000043000000}"/>
    <cellStyle name="_Book13_ISS_FY08_10월가격표_final013xls 9" xfId="73" xr:uid="{00000000-0005-0000-0000-000044000000}"/>
    <cellStyle name="_Book13_ISS_FY08_10월가격표_final013xls 9_FY09_8월 가격표_ISS" xfId="74" xr:uid="{00000000-0005-0000-0000-000045000000}"/>
    <cellStyle name="_CPQRC_Storage_Dec05" xfId="75" xr:uid="{00000000-0005-0000-0000-000046000000}"/>
    <cellStyle name="_Eclipse approval" xfId="76" xr:uid="{00000000-0005-0000-0000-000047000000}"/>
    <cellStyle name="_Eclipse approval 2" xfId="77" xr:uid="{00000000-0005-0000-0000-000048000000}"/>
    <cellStyle name="_Eclipse approval 2_FY09_8월 가격표_ISS" xfId="78" xr:uid="{00000000-0005-0000-0000-000049000000}"/>
    <cellStyle name="_Eclipse approval 3" xfId="79" xr:uid="{00000000-0005-0000-0000-00004A000000}"/>
    <cellStyle name="_Eclipse approval 3_FY09_8월 가격표_ISS" xfId="80" xr:uid="{00000000-0005-0000-0000-00004B000000}"/>
    <cellStyle name="_Eclipse approval 4" xfId="81" xr:uid="{00000000-0005-0000-0000-00004C000000}"/>
    <cellStyle name="_Eclipse approval 4_FY09_8월 가격표_ISS" xfId="82" xr:uid="{00000000-0005-0000-0000-00004D000000}"/>
    <cellStyle name="_Eclipse approval 5" xfId="83" xr:uid="{00000000-0005-0000-0000-00004E000000}"/>
    <cellStyle name="_Eclipse approval 5_FY09_8월 가격표_ISS" xfId="84" xr:uid="{00000000-0005-0000-0000-00004F000000}"/>
    <cellStyle name="_Eclipse approval 6" xfId="85" xr:uid="{00000000-0005-0000-0000-000050000000}"/>
    <cellStyle name="_Eclipse approval 6_FY09_8월 가격표_ISS" xfId="86" xr:uid="{00000000-0005-0000-0000-000051000000}"/>
    <cellStyle name="_Eclipse approval 7" xfId="87" xr:uid="{00000000-0005-0000-0000-000052000000}"/>
    <cellStyle name="_Eclipse approval 7_FY09_8월 가격표_ISS" xfId="88" xr:uid="{00000000-0005-0000-0000-000053000000}"/>
    <cellStyle name="_Eclipse approval 8" xfId="89" xr:uid="{00000000-0005-0000-0000-000054000000}"/>
    <cellStyle name="_Eclipse approval 8_FY09_8월 가격표_ISS" xfId="90" xr:uid="{00000000-0005-0000-0000-000055000000}"/>
    <cellStyle name="_Eclipse approval 9" xfId="91" xr:uid="{00000000-0005-0000-0000-000056000000}"/>
    <cellStyle name="_Eclipse approval 9_FY09_8월 가격표_ISS" xfId="92" xr:uid="{00000000-0005-0000-0000-000057000000}"/>
    <cellStyle name="_Eclipse approval_ISS_FY08_10월가격표_final013xls" xfId="93" xr:uid="{00000000-0005-0000-0000-000058000000}"/>
    <cellStyle name="_Eclipse approval_ISS_FY08_10월가격표_final013xls 2" xfId="94" xr:uid="{00000000-0005-0000-0000-000059000000}"/>
    <cellStyle name="_Eclipse approval_ISS_FY08_10월가격표_final013xls 2_FY09_8월 가격표_ISS" xfId="95" xr:uid="{00000000-0005-0000-0000-00005A000000}"/>
    <cellStyle name="_Eclipse approval_ISS_FY08_10월가격표_final013xls 3" xfId="96" xr:uid="{00000000-0005-0000-0000-00005B000000}"/>
    <cellStyle name="_Eclipse approval_ISS_FY08_10월가격표_final013xls 3_FY09_8월 가격표_ISS" xfId="97" xr:uid="{00000000-0005-0000-0000-00005C000000}"/>
    <cellStyle name="_Eclipse approval_ISS_FY08_10월가격표_final013xls 4" xfId="98" xr:uid="{00000000-0005-0000-0000-00005D000000}"/>
    <cellStyle name="_Eclipse approval_ISS_FY08_10월가격표_final013xls 4_FY09_8월 가격표_ISS" xfId="99" xr:uid="{00000000-0005-0000-0000-00005E000000}"/>
    <cellStyle name="_Eclipse approval_ISS_FY08_10월가격표_final013xls 5" xfId="100" xr:uid="{00000000-0005-0000-0000-00005F000000}"/>
    <cellStyle name="_Eclipse approval_ISS_FY08_10월가격표_final013xls 5_FY09_8월 가격표_ISS" xfId="101" xr:uid="{00000000-0005-0000-0000-000060000000}"/>
    <cellStyle name="_Eclipse approval_ISS_FY08_10월가격표_final013xls 6" xfId="102" xr:uid="{00000000-0005-0000-0000-000061000000}"/>
    <cellStyle name="_Eclipse approval_ISS_FY08_10월가격표_final013xls 6_FY09_8월 가격표_ISS" xfId="103" xr:uid="{00000000-0005-0000-0000-000062000000}"/>
    <cellStyle name="_Eclipse approval_ISS_FY08_10월가격표_final013xls 7" xfId="104" xr:uid="{00000000-0005-0000-0000-000063000000}"/>
    <cellStyle name="_Eclipse approval_ISS_FY08_10월가격표_final013xls 7_FY09_8월 가격표_ISS" xfId="105" xr:uid="{00000000-0005-0000-0000-000064000000}"/>
    <cellStyle name="_Eclipse approval_ISS_FY08_10월가격표_final013xls 8" xfId="106" xr:uid="{00000000-0005-0000-0000-000065000000}"/>
    <cellStyle name="_Eclipse approval_ISS_FY08_10월가격표_final013xls 8_FY09_8월 가격표_ISS" xfId="107" xr:uid="{00000000-0005-0000-0000-000066000000}"/>
    <cellStyle name="_Eclipse approval_ISS_FY08_10월가격표_final013xls 9" xfId="108" xr:uid="{00000000-0005-0000-0000-000067000000}"/>
    <cellStyle name="_Eclipse approval_ISS_FY08_10월가격표_final013xls 9_FY09_8월 가격표_ISS" xfId="109" xr:uid="{00000000-0005-0000-0000-000068000000}"/>
    <cellStyle name="_eclipse-1110" xfId="110" xr:uid="{00000000-0005-0000-0000-000069000000}"/>
    <cellStyle name="_FCST TTL" xfId="111" xr:uid="{00000000-0005-0000-0000-00006A000000}"/>
    <cellStyle name="_FY05 1X Weekly Stock Report(as of Aug 28)" xfId="112" xr:uid="{00000000-0005-0000-0000-00006B000000}"/>
    <cellStyle name="_FY05 1X Weekly Stock Report(as of Dec.12)" xfId="113" xr:uid="{00000000-0005-0000-0000-00006C000000}"/>
    <cellStyle name="_FY05 1X Weekly Stock Report(as of Dec.19)" xfId="114" xr:uid="{00000000-0005-0000-0000-00006D000000}"/>
    <cellStyle name="_FY05 1X Weekly Stock Report(as of Feb 13)" xfId="115" xr:uid="{00000000-0005-0000-0000-00006E000000}"/>
    <cellStyle name="_FY05 1X Weekly Stock Report(as of Nov.30)" xfId="116" xr:uid="{00000000-0005-0000-0000-00006F000000}"/>
    <cellStyle name="_FY05 1X Weekly Stock Report(as of Sep 18)" xfId="117" xr:uid="{00000000-0005-0000-0000-000070000000}"/>
    <cellStyle name="_fy051H quota_v3" xfId="118" xr:uid="{00000000-0005-0000-0000-000071000000}"/>
    <cellStyle name="_FY05'2H ISS WOS(0812)1" xfId="119" xr:uid="{00000000-0005-0000-0000-000072000000}"/>
    <cellStyle name="_FY05'2H ISS WOS(0821)1 (2)" xfId="120" xr:uid="{00000000-0005-0000-0000-000073000000}"/>
    <cellStyle name="_FY06 1X Weekly Stock Report(as of Dec 18)" xfId="121" xr:uid="{00000000-0005-0000-0000-000074000000}"/>
    <cellStyle name="_FY06 1X Weekly Stock Status Report(as of Apr 30) (2)" xfId="122" xr:uid="{00000000-0005-0000-0000-000075000000}"/>
    <cellStyle name="_FY06 1X Weekly Stock Status Report(as of Feb.5)1" xfId="123" xr:uid="{00000000-0005-0000-0000-000076000000}"/>
    <cellStyle name="_FY06 1X Weekly Stock Status Report(as of Jan 29)" xfId="124" xr:uid="{00000000-0005-0000-0000-000077000000}"/>
    <cellStyle name="_GM fcst OCT06" xfId="125" xr:uid="{00000000-0005-0000-0000-000078000000}"/>
    <cellStyle name="_GM fcst OCT06 2" xfId="126" xr:uid="{00000000-0005-0000-0000-000079000000}"/>
    <cellStyle name="_GM fcst OCT06 2_FY09_8월 가격표_ISS" xfId="127" xr:uid="{00000000-0005-0000-0000-00007A000000}"/>
    <cellStyle name="_GM fcst OCT06 3" xfId="128" xr:uid="{00000000-0005-0000-0000-00007B000000}"/>
    <cellStyle name="_GM fcst OCT06 3_FY09_8월 가격표_ISS" xfId="129" xr:uid="{00000000-0005-0000-0000-00007C000000}"/>
    <cellStyle name="_GM fcst OCT06 4" xfId="130" xr:uid="{00000000-0005-0000-0000-00007D000000}"/>
    <cellStyle name="_GM fcst OCT06 4_FY09_8월 가격표_ISS" xfId="131" xr:uid="{00000000-0005-0000-0000-00007E000000}"/>
    <cellStyle name="_GM fcst OCT06 5" xfId="132" xr:uid="{00000000-0005-0000-0000-00007F000000}"/>
    <cellStyle name="_GM fcst OCT06 5_FY09_8월 가격표_ISS" xfId="133" xr:uid="{00000000-0005-0000-0000-000080000000}"/>
    <cellStyle name="_GM fcst OCT06 6" xfId="134" xr:uid="{00000000-0005-0000-0000-000081000000}"/>
    <cellStyle name="_GM fcst OCT06 6_FY09_8월 가격표_ISS" xfId="135" xr:uid="{00000000-0005-0000-0000-000082000000}"/>
    <cellStyle name="_GM fcst OCT06 7" xfId="136" xr:uid="{00000000-0005-0000-0000-000083000000}"/>
    <cellStyle name="_GM fcst OCT06 7_FY09_8월 가격표_ISS" xfId="137" xr:uid="{00000000-0005-0000-0000-000084000000}"/>
    <cellStyle name="_GM fcst OCT06 8" xfId="138" xr:uid="{00000000-0005-0000-0000-000085000000}"/>
    <cellStyle name="_GM fcst OCT06 8_FY09_8월 가격표_ISS" xfId="139" xr:uid="{00000000-0005-0000-0000-000086000000}"/>
    <cellStyle name="_GM fcst OCT06 9" xfId="140" xr:uid="{00000000-0005-0000-0000-000087000000}"/>
    <cellStyle name="_GM fcst OCT06 9_FY09_8월 가격표_ISS" xfId="141" xr:uid="{00000000-0005-0000-0000-000088000000}"/>
    <cellStyle name="_GM fcst OCT06_ISS_FY08_10월가격표_final013xls" xfId="142" xr:uid="{00000000-0005-0000-0000-000089000000}"/>
    <cellStyle name="_GM fcst OCT06_ISS_FY08_10월가격표_final013xls 2" xfId="143" xr:uid="{00000000-0005-0000-0000-00008A000000}"/>
    <cellStyle name="_GM fcst OCT06_ISS_FY08_10월가격표_final013xls 2_FY09_8월 가격표_ISS" xfId="144" xr:uid="{00000000-0005-0000-0000-00008B000000}"/>
    <cellStyle name="_GM fcst OCT06_ISS_FY08_10월가격표_final013xls 3" xfId="145" xr:uid="{00000000-0005-0000-0000-00008C000000}"/>
    <cellStyle name="_GM fcst OCT06_ISS_FY08_10월가격표_final013xls 3_FY09_8월 가격표_ISS" xfId="146" xr:uid="{00000000-0005-0000-0000-00008D000000}"/>
    <cellStyle name="_GM fcst OCT06_ISS_FY08_10월가격표_final013xls 4" xfId="147" xr:uid="{00000000-0005-0000-0000-00008E000000}"/>
    <cellStyle name="_GM fcst OCT06_ISS_FY08_10월가격표_final013xls 4_FY09_8월 가격표_ISS" xfId="148" xr:uid="{00000000-0005-0000-0000-00008F000000}"/>
    <cellStyle name="_GM fcst OCT06_ISS_FY08_10월가격표_final013xls 5" xfId="149" xr:uid="{00000000-0005-0000-0000-000090000000}"/>
    <cellStyle name="_GM fcst OCT06_ISS_FY08_10월가격표_final013xls 5_FY09_8월 가격표_ISS" xfId="150" xr:uid="{00000000-0005-0000-0000-000091000000}"/>
    <cellStyle name="_GM fcst OCT06_ISS_FY08_10월가격표_final013xls 6" xfId="151" xr:uid="{00000000-0005-0000-0000-000092000000}"/>
    <cellStyle name="_GM fcst OCT06_ISS_FY08_10월가격표_final013xls 6_FY09_8월 가격표_ISS" xfId="152" xr:uid="{00000000-0005-0000-0000-000093000000}"/>
    <cellStyle name="_GM fcst OCT06_ISS_FY08_10월가격표_final013xls 7" xfId="153" xr:uid="{00000000-0005-0000-0000-000094000000}"/>
    <cellStyle name="_GM fcst OCT06_ISS_FY08_10월가격표_final013xls 7_FY09_8월 가격표_ISS" xfId="154" xr:uid="{00000000-0005-0000-0000-000095000000}"/>
    <cellStyle name="_GM fcst OCT06_ISS_FY08_10월가격표_final013xls 8" xfId="155" xr:uid="{00000000-0005-0000-0000-000096000000}"/>
    <cellStyle name="_GM fcst OCT06_ISS_FY08_10월가격표_final013xls 8_FY09_8월 가격표_ISS" xfId="156" xr:uid="{00000000-0005-0000-0000-000097000000}"/>
    <cellStyle name="_GM fcst OCT06_ISS_FY08_10월가격표_final013xls 9" xfId="157" xr:uid="{00000000-0005-0000-0000-000098000000}"/>
    <cellStyle name="_GM fcst OCT06_ISS_FY08_10월가격표_final013xls 9_FY09_8월 가격표_ISS" xfId="158" xr:uid="{00000000-0005-0000-0000-000099000000}"/>
    <cellStyle name="_inventory-Dec5_04" xfId="159" xr:uid="{00000000-0005-0000-0000-00009A000000}"/>
    <cellStyle name="_Log Book 0930" xfId="160" xr:uid="{00000000-0005-0000-0000-00009B000000}"/>
    <cellStyle name="_Log Book 0930 2" xfId="161" xr:uid="{00000000-0005-0000-0000-00009C000000}"/>
    <cellStyle name="_Log Book 0930 2_FY09_8월 가격표_ISS" xfId="162" xr:uid="{00000000-0005-0000-0000-00009D000000}"/>
    <cellStyle name="_Log Book 0930 3" xfId="163" xr:uid="{00000000-0005-0000-0000-00009E000000}"/>
    <cellStyle name="_Log Book 0930 3_FY09_8월 가격표_ISS" xfId="164" xr:uid="{00000000-0005-0000-0000-00009F000000}"/>
    <cellStyle name="_Log Book 0930 4" xfId="165" xr:uid="{00000000-0005-0000-0000-0000A0000000}"/>
    <cellStyle name="_Log Book 0930 4_FY09_8월 가격표_ISS" xfId="166" xr:uid="{00000000-0005-0000-0000-0000A1000000}"/>
    <cellStyle name="_Log Book 0930 5" xfId="167" xr:uid="{00000000-0005-0000-0000-0000A2000000}"/>
    <cellStyle name="_Log Book 0930 5_FY09_8월 가격표_ISS" xfId="168" xr:uid="{00000000-0005-0000-0000-0000A3000000}"/>
    <cellStyle name="_Log Book 0930 6" xfId="169" xr:uid="{00000000-0005-0000-0000-0000A4000000}"/>
    <cellStyle name="_Log Book 0930 6_FY09_8월 가격표_ISS" xfId="170" xr:uid="{00000000-0005-0000-0000-0000A5000000}"/>
    <cellStyle name="_Log Book 0930 7" xfId="171" xr:uid="{00000000-0005-0000-0000-0000A6000000}"/>
    <cellStyle name="_Log Book 0930 7_FY09_8월 가격표_ISS" xfId="172" xr:uid="{00000000-0005-0000-0000-0000A7000000}"/>
    <cellStyle name="_Log Book 0930 8" xfId="173" xr:uid="{00000000-0005-0000-0000-0000A8000000}"/>
    <cellStyle name="_Log Book 0930 8_FY09_8월 가격표_ISS" xfId="174" xr:uid="{00000000-0005-0000-0000-0000A9000000}"/>
    <cellStyle name="_Log Book 0930 9" xfId="175" xr:uid="{00000000-0005-0000-0000-0000AA000000}"/>
    <cellStyle name="_Log Book 0930 9_FY09_8월 가격표_ISS" xfId="176" xr:uid="{00000000-0005-0000-0000-0000AB000000}"/>
    <cellStyle name="_Log Book 0930_ISS_FY08_10월가격표_final013xls" xfId="177" xr:uid="{00000000-0005-0000-0000-0000AC000000}"/>
    <cellStyle name="_Log Book 0930_ISS_FY08_10월가격표_final013xls 2" xfId="178" xr:uid="{00000000-0005-0000-0000-0000AD000000}"/>
    <cellStyle name="_Log Book 0930_ISS_FY08_10월가격표_final013xls 2_FY09_8월 가격표_ISS" xfId="179" xr:uid="{00000000-0005-0000-0000-0000AE000000}"/>
    <cellStyle name="_Log Book 0930_ISS_FY08_10월가격표_final013xls 3" xfId="180" xr:uid="{00000000-0005-0000-0000-0000AF000000}"/>
    <cellStyle name="_Log Book 0930_ISS_FY08_10월가격표_final013xls 3_FY09_8월 가격표_ISS" xfId="181" xr:uid="{00000000-0005-0000-0000-0000B0000000}"/>
    <cellStyle name="_Log Book 0930_ISS_FY08_10월가격표_final013xls 4" xfId="182" xr:uid="{00000000-0005-0000-0000-0000B1000000}"/>
    <cellStyle name="_Log Book 0930_ISS_FY08_10월가격표_final013xls 4_FY09_8월 가격표_ISS" xfId="183" xr:uid="{00000000-0005-0000-0000-0000B2000000}"/>
    <cellStyle name="_Log Book 0930_ISS_FY08_10월가격표_final013xls 5" xfId="184" xr:uid="{00000000-0005-0000-0000-0000B3000000}"/>
    <cellStyle name="_Log Book 0930_ISS_FY08_10월가격표_final013xls 5_FY09_8월 가격표_ISS" xfId="185" xr:uid="{00000000-0005-0000-0000-0000B4000000}"/>
    <cellStyle name="_Log Book 0930_ISS_FY08_10월가격표_final013xls 6" xfId="186" xr:uid="{00000000-0005-0000-0000-0000B5000000}"/>
    <cellStyle name="_Log Book 0930_ISS_FY08_10월가격표_final013xls 6_FY09_8월 가격표_ISS" xfId="187" xr:uid="{00000000-0005-0000-0000-0000B6000000}"/>
    <cellStyle name="_Log Book 0930_ISS_FY08_10월가격표_final013xls 7" xfId="188" xr:uid="{00000000-0005-0000-0000-0000B7000000}"/>
    <cellStyle name="_Log Book 0930_ISS_FY08_10월가격표_final013xls 7_FY09_8월 가격표_ISS" xfId="189" xr:uid="{00000000-0005-0000-0000-0000B8000000}"/>
    <cellStyle name="_Log Book 0930_ISS_FY08_10월가격표_final013xls 8" xfId="190" xr:uid="{00000000-0005-0000-0000-0000B9000000}"/>
    <cellStyle name="_Log Book 0930_ISS_FY08_10월가격표_final013xls 8_FY09_8월 가격표_ISS" xfId="191" xr:uid="{00000000-0005-0000-0000-0000BA000000}"/>
    <cellStyle name="_Log Book 0930_ISS_FY08_10월가격표_final013xls 9" xfId="192" xr:uid="{00000000-0005-0000-0000-0000BB000000}"/>
    <cellStyle name="_Log Book 0930_ISS_FY08_10월가격표_final013xls 9_FY09_8월 가격표_ISS" xfId="193" xr:uid="{00000000-0005-0000-0000-0000BC000000}"/>
    <cellStyle name="_Log Book_050805" xfId="194" xr:uid="{00000000-0005-0000-0000-0000BD000000}"/>
    <cellStyle name="_Log Book_050805 2" xfId="195" xr:uid="{00000000-0005-0000-0000-0000BE000000}"/>
    <cellStyle name="_Log Book_050805 2_FY09_8월 가격표_ISS" xfId="196" xr:uid="{00000000-0005-0000-0000-0000BF000000}"/>
    <cellStyle name="_Log Book_050805 3" xfId="197" xr:uid="{00000000-0005-0000-0000-0000C0000000}"/>
    <cellStyle name="_Log Book_050805 3_FY09_8월 가격표_ISS" xfId="198" xr:uid="{00000000-0005-0000-0000-0000C1000000}"/>
    <cellStyle name="_Log Book_050805 4" xfId="199" xr:uid="{00000000-0005-0000-0000-0000C2000000}"/>
    <cellStyle name="_Log Book_050805 4_FY09_8월 가격표_ISS" xfId="200" xr:uid="{00000000-0005-0000-0000-0000C3000000}"/>
    <cellStyle name="_Log Book_050805 5" xfId="201" xr:uid="{00000000-0005-0000-0000-0000C4000000}"/>
    <cellStyle name="_Log Book_050805 5_FY09_8월 가격표_ISS" xfId="202" xr:uid="{00000000-0005-0000-0000-0000C5000000}"/>
    <cellStyle name="_Log Book_050805 6" xfId="203" xr:uid="{00000000-0005-0000-0000-0000C6000000}"/>
    <cellStyle name="_Log Book_050805 6_FY09_8월 가격표_ISS" xfId="204" xr:uid="{00000000-0005-0000-0000-0000C7000000}"/>
    <cellStyle name="_Log Book_050805 7" xfId="205" xr:uid="{00000000-0005-0000-0000-0000C8000000}"/>
    <cellStyle name="_Log Book_050805 7_FY09_8월 가격표_ISS" xfId="206" xr:uid="{00000000-0005-0000-0000-0000C9000000}"/>
    <cellStyle name="_Log Book_050805 8" xfId="207" xr:uid="{00000000-0005-0000-0000-0000CA000000}"/>
    <cellStyle name="_Log Book_050805 8_FY09_8월 가격표_ISS" xfId="208" xr:uid="{00000000-0005-0000-0000-0000CB000000}"/>
    <cellStyle name="_Log Book_050805 9" xfId="209" xr:uid="{00000000-0005-0000-0000-0000CC000000}"/>
    <cellStyle name="_Log Book_050805 9_FY09_8월 가격표_ISS" xfId="210" xr:uid="{00000000-0005-0000-0000-0000CD000000}"/>
    <cellStyle name="_Log Book_050805_ISS_FY08_10월가격표_final013xls" xfId="211" xr:uid="{00000000-0005-0000-0000-0000CE000000}"/>
    <cellStyle name="_Log Book_050805_ISS_FY08_10월가격표_final013xls 2" xfId="212" xr:uid="{00000000-0005-0000-0000-0000CF000000}"/>
    <cellStyle name="_Log Book_050805_ISS_FY08_10월가격표_final013xls 2_FY09_8월 가격표_ISS" xfId="213" xr:uid="{00000000-0005-0000-0000-0000D0000000}"/>
    <cellStyle name="_Log Book_050805_ISS_FY08_10월가격표_final013xls 3" xfId="214" xr:uid="{00000000-0005-0000-0000-0000D1000000}"/>
    <cellStyle name="_Log Book_050805_ISS_FY08_10월가격표_final013xls 3_FY09_8월 가격표_ISS" xfId="215" xr:uid="{00000000-0005-0000-0000-0000D2000000}"/>
    <cellStyle name="_Log Book_050805_ISS_FY08_10월가격표_final013xls 4" xfId="216" xr:uid="{00000000-0005-0000-0000-0000D3000000}"/>
    <cellStyle name="_Log Book_050805_ISS_FY08_10월가격표_final013xls 4_FY09_8월 가격표_ISS" xfId="217" xr:uid="{00000000-0005-0000-0000-0000D4000000}"/>
    <cellStyle name="_Log Book_050805_ISS_FY08_10월가격표_final013xls 5" xfId="218" xr:uid="{00000000-0005-0000-0000-0000D5000000}"/>
    <cellStyle name="_Log Book_050805_ISS_FY08_10월가격표_final013xls 5_FY09_8월 가격표_ISS" xfId="219" xr:uid="{00000000-0005-0000-0000-0000D6000000}"/>
    <cellStyle name="_Log Book_050805_ISS_FY08_10월가격표_final013xls 6" xfId="220" xr:uid="{00000000-0005-0000-0000-0000D7000000}"/>
    <cellStyle name="_Log Book_050805_ISS_FY08_10월가격표_final013xls 6_FY09_8월 가격표_ISS" xfId="221" xr:uid="{00000000-0005-0000-0000-0000D8000000}"/>
    <cellStyle name="_Log Book_050805_ISS_FY08_10월가격표_final013xls 7" xfId="222" xr:uid="{00000000-0005-0000-0000-0000D9000000}"/>
    <cellStyle name="_Log Book_050805_ISS_FY08_10월가격표_final013xls 7_FY09_8월 가격표_ISS" xfId="223" xr:uid="{00000000-0005-0000-0000-0000DA000000}"/>
    <cellStyle name="_Log Book_050805_ISS_FY08_10월가격표_final013xls 8" xfId="224" xr:uid="{00000000-0005-0000-0000-0000DB000000}"/>
    <cellStyle name="_Log Book_050805_ISS_FY08_10월가격표_final013xls 8_FY09_8월 가격표_ISS" xfId="225" xr:uid="{00000000-0005-0000-0000-0000DC000000}"/>
    <cellStyle name="_Log Book_050805_ISS_FY08_10월가격표_final013xls 9" xfId="226" xr:uid="{00000000-0005-0000-0000-0000DD000000}"/>
    <cellStyle name="_Log Book_050805_ISS_FY08_10월가격표_final013xls 9_FY09_8월 가격표_ISS" xfId="227" xr:uid="{00000000-0005-0000-0000-0000DE000000}"/>
    <cellStyle name="_Log Book_050822" xfId="228" xr:uid="{00000000-0005-0000-0000-0000DF000000}"/>
    <cellStyle name="_Log Book_050822 2" xfId="229" xr:uid="{00000000-0005-0000-0000-0000E0000000}"/>
    <cellStyle name="_Log Book_050822 2_FY09_8월 가격표_ISS" xfId="230" xr:uid="{00000000-0005-0000-0000-0000E1000000}"/>
    <cellStyle name="_Log Book_050822 3" xfId="231" xr:uid="{00000000-0005-0000-0000-0000E2000000}"/>
    <cellStyle name="_Log Book_050822 3_FY09_8월 가격표_ISS" xfId="232" xr:uid="{00000000-0005-0000-0000-0000E3000000}"/>
    <cellStyle name="_Log Book_050822 4" xfId="233" xr:uid="{00000000-0005-0000-0000-0000E4000000}"/>
    <cellStyle name="_Log Book_050822 4_FY09_8월 가격표_ISS" xfId="234" xr:uid="{00000000-0005-0000-0000-0000E5000000}"/>
    <cellStyle name="_Log Book_050822 5" xfId="235" xr:uid="{00000000-0005-0000-0000-0000E6000000}"/>
    <cellStyle name="_Log Book_050822 5_FY09_8월 가격표_ISS" xfId="236" xr:uid="{00000000-0005-0000-0000-0000E7000000}"/>
    <cellStyle name="_Log Book_050822 6" xfId="237" xr:uid="{00000000-0005-0000-0000-0000E8000000}"/>
    <cellStyle name="_Log Book_050822 6_FY09_8월 가격표_ISS" xfId="238" xr:uid="{00000000-0005-0000-0000-0000E9000000}"/>
    <cellStyle name="_Log Book_050822 7" xfId="239" xr:uid="{00000000-0005-0000-0000-0000EA000000}"/>
    <cellStyle name="_Log Book_050822 7_FY09_8월 가격표_ISS" xfId="240" xr:uid="{00000000-0005-0000-0000-0000EB000000}"/>
    <cellStyle name="_Log Book_050822 8" xfId="241" xr:uid="{00000000-0005-0000-0000-0000EC000000}"/>
    <cellStyle name="_Log Book_050822 8_FY09_8월 가격표_ISS" xfId="242" xr:uid="{00000000-0005-0000-0000-0000ED000000}"/>
    <cellStyle name="_Log Book_050822 9" xfId="243" xr:uid="{00000000-0005-0000-0000-0000EE000000}"/>
    <cellStyle name="_Log Book_050822 9_FY09_8월 가격표_ISS" xfId="244" xr:uid="{00000000-0005-0000-0000-0000EF000000}"/>
    <cellStyle name="_Log Book_050822_ISS_FY08_10월가격표_final013xls" xfId="245" xr:uid="{00000000-0005-0000-0000-0000F0000000}"/>
    <cellStyle name="_Log Book_050822_ISS_FY08_10월가격표_final013xls 2" xfId="246" xr:uid="{00000000-0005-0000-0000-0000F1000000}"/>
    <cellStyle name="_Log Book_050822_ISS_FY08_10월가격표_final013xls 2_FY09_8월 가격표_ISS" xfId="247" xr:uid="{00000000-0005-0000-0000-0000F2000000}"/>
    <cellStyle name="_Log Book_050822_ISS_FY08_10월가격표_final013xls 3" xfId="248" xr:uid="{00000000-0005-0000-0000-0000F3000000}"/>
    <cellStyle name="_Log Book_050822_ISS_FY08_10월가격표_final013xls 3_FY09_8월 가격표_ISS" xfId="249" xr:uid="{00000000-0005-0000-0000-0000F4000000}"/>
    <cellStyle name="_Log Book_050822_ISS_FY08_10월가격표_final013xls 4" xfId="250" xr:uid="{00000000-0005-0000-0000-0000F5000000}"/>
    <cellStyle name="_Log Book_050822_ISS_FY08_10월가격표_final013xls 4_FY09_8월 가격표_ISS" xfId="251" xr:uid="{00000000-0005-0000-0000-0000F6000000}"/>
    <cellStyle name="_Log Book_050822_ISS_FY08_10월가격표_final013xls 5" xfId="252" xr:uid="{00000000-0005-0000-0000-0000F7000000}"/>
    <cellStyle name="_Log Book_050822_ISS_FY08_10월가격표_final013xls 5_FY09_8월 가격표_ISS" xfId="253" xr:uid="{00000000-0005-0000-0000-0000F8000000}"/>
    <cellStyle name="_Log Book_050822_ISS_FY08_10월가격표_final013xls 6" xfId="254" xr:uid="{00000000-0005-0000-0000-0000F9000000}"/>
    <cellStyle name="_Log Book_050822_ISS_FY08_10월가격표_final013xls 6_FY09_8월 가격표_ISS" xfId="255" xr:uid="{00000000-0005-0000-0000-0000FA000000}"/>
    <cellStyle name="_Log Book_050822_ISS_FY08_10월가격표_final013xls 7" xfId="256" xr:uid="{00000000-0005-0000-0000-0000FB000000}"/>
    <cellStyle name="_Log Book_050822_ISS_FY08_10월가격표_final013xls 7_FY09_8월 가격표_ISS" xfId="257" xr:uid="{00000000-0005-0000-0000-0000FC000000}"/>
    <cellStyle name="_Log Book_050822_ISS_FY08_10월가격표_final013xls 8" xfId="258" xr:uid="{00000000-0005-0000-0000-0000FD000000}"/>
    <cellStyle name="_Log Book_050822_ISS_FY08_10월가격표_final013xls 8_FY09_8월 가격표_ISS" xfId="259" xr:uid="{00000000-0005-0000-0000-0000FE000000}"/>
    <cellStyle name="_Log Book_050822_ISS_FY08_10월가격표_final013xls 9" xfId="260" xr:uid="{00000000-0005-0000-0000-0000FF000000}"/>
    <cellStyle name="_Log Book_050822_ISS_FY08_10월가격표_final013xls 9_FY09_8월 가격표_ISS" xfId="261" xr:uid="{00000000-0005-0000-0000-000000010000}"/>
    <cellStyle name="_Log Book_050905" xfId="262" xr:uid="{00000000-0005-0000-0000-000001010000}"/>
    <cellStyle name="_Log Book_050905 2" xfId="263" xr:uid="{00000000-0005-0000-0000-000002010000}"/>
    <cellStyle name="_Log Book_050905 2_FY09_8월 가격표_ISS" xfId="264" xr:uid="{00000000-0005-0000-0000-000003010000}"/>
    <cellStyle name="_Log Book_050905 3" xfId="265" xr:uid="{00000000-0005-0000-0000-000004010000}"/>
    <cellStyle name="_Log Book_050905 3_FY09_8월 가격표_ISS" xfId="266" xr:uid="{00000000-0005-0000-0000-000005010000}"/>
    <cellStyle name="_Log Book_050905 4" xfId="267" xr:uid="{00000000-0005-0000-0000-000006010000}"/>
    <cellStyle name="_Log Book_050905 4_FY09_8월 가격표_ISS" xfId="268" xr:uid="{00000000-0005-0000-0000-000007010000}"/>
    <cellStyle name="_Log Book_050905 5" xfId="269" xr:uid="{00000000-0005-0000-0000-000008010000}"/>
    <cellStyle name="_Log Book_050905 5_FY09_8월 가격표_ISS" xfId="270" xr:uid="{00000000-0005-0000-0000-000009010000}"/>
    <cellStyle name="_Log Book_050905 6" xfId="271" xr:uid="{00000000-0005-0000-0000-00000A010000}"/>
    <cellStyle name="_Log Book_050905 6_FY09_8월 가격표_ISS" xfId="272" xr:uid="{00000000-0005-0000-0000-00000B010000}"/>
    <cellStyle name="_Log Book_050905 7" xfId="273" xr:uid="{00000000-0005-0000-0000-00000C010000}"/>
    <cellStyle name="_Log Book_050905 7_FY09_8월 가격표_ISS" xfId="274" xr:uid="{00000000-0005-0000-0000-00000D010000}"/>
    <cellStyle name="_Log Book_050905 8" xfId="275" xr:uid="{00000000-0005-0000-0000-00000E010000}"/>
    <cellStyle name="_Log Book_050905 8_FY09_8월 가격표_ISS" xfId="276" xr:uid="{00000000-0005-0000-0000-00000F010000}"/>
    <cellStyle name="_Log Book_050905 9" xfId="277" xr:uid="{00000000-0005-0000-0000-000010010000}"/>
    <cellStyle name="_Log Book_050905 9_FY09_8월 가격표_ISS" xfId="278" xr:uid="{00000000-0005-0000-0000-000011010000}"/>
    <cellStyle name="_Log Book_050905_ISS_FY08_10월가격표_final013xls" xfId="279" xr:uid="{00000000-0005-0000-0000-000012010000}"/>
    <cellStyle name="_Log Book_050905_ISS_FY08_10월가격표_final013xls 2" xfId="280" xr:uid="{00000000-0005-0000-0000-000013010000}"/>
    <cellStyle name="_Log Book_050905_ISS_FY08_10월가격표_final013xls 2_FY09_8월 가격표_ISS" xfId="281" xr:uid="{00000000-0005-0000-0000-000014010000}"/>
    <cellStyle name="_Log Book_050905_ISS_FY08_10월가격표_final013xls 3" xfId="282" xr:uid="{00000000-0005-0000-0000-000015010000}"/>
    <cellStyle name="_Log Book_050905_ISS_FY08_10월가격표_final013xls 3_FY09_8월 가격표_ISS" xfId="283" xr:uid="{00000000-0005-0000-0000-000016010000}"/>
    <cellStyle name="_Log Book_050905_ISS_FY08_10월가격표_final013xls 4" xfId="284" xr:uid="{00000000-0005-0000-0000-000017010000}"/>
    <cellStyle name="_Log Book_050905_ISS_FY08_10월가격표_final013xls 4_FY09_8월 가격표_ISS" xfId="285" xr:uid="{00000000-0005-0000-0000-000018010000}"/>
    <cellStyle name="_Log Book_050905_ISS_FY08_10월가격표_final013xls 5" xfId="286" xr:uid="{00000000-0005-0000-0000-000019010000}"/>
    <cellStyle name="_Log Book_050905_ISS_FY08_10월가격표_final013xls 5_FY09_8월 가격표_ISS" xfId="287" xr:uid="{00000000-0005-0000-0000-00001A010000}"/>
    <cellStyle name="_Log Book_050905_ISS_FY08_10월가격표_final013xls 6" xfId="288" xr:uid="{00000000-0005-0000-0000-00001B010000}"/>
    <cellStyle name="_Log Book_050905_ISS_FY08_10월가격표_final013xls 6_FY09_8월 가격표_ISS" xfId="289" xr:uid="{00000000-0005-0000-0000-00001C010000}"/>
    <cellStyle name="_Log Book_050905_ISS_FY08_10월가격표_final013xls 7" xfId="290" xr:uid="{00000000-0005-0000-0000-00001D010000}"/>
    <cellStyle name="_Log Book_050905_ISS_FY08_10월가격표_final013xls 7_FY09_8월 가격표_ISS" xfId="291" xr:uid="{00000000-0005-0000-0000-00001E010000}"/>
    <cellStyle name="_Log Book_050905_ISS_FY08_10월가격표_final013xls 8" xfId="292" xr:uid="{00000000-0005-0000-0000-00001F010000}"/>
    <cellStyle name="_Log Book_050905_ISS_FY08_10월가격표_final013xls 8_FY09_8월 가격표_ISS" xfId="293" xr:uid="{00000000-0005-0000-0000-000020010000}"/>
    <cellStyle name="_Log Book_050905_ISS_FY08_10월가격표_final013xls 9" xfId="294" xr:uid="{00000000-0005-0000-0000-000021010000}"/>
    <cellStyle name="_Log Book_050905_ISS_FY08_10월가격표_final013xls 9_FY09_8월 가격표_ISS" xfId="295" xr:uid="{00000000-0005-0000-0000-000022010000}"/>
    <cellStyle name="_Log Book_050906" xfId="296" xr:uid="{00000000-0005-0000-0000-000023010000}"/>
    <cellStyle name="_Log Book_050906 2" xfId="297" xr:uid="{00000000-0005-0000-0000-000024010000}"/>
    <cellStyle name="_Log Book_050906 2_FY09_8월 가격표_ISS" xfId="298" xr:uid="{00000000-0005-0000-0000-000025010000}"/>
    <cellStyle name="_Log Book_050906 3" xfId="299" xr:uid="{00000000-0005-0000-0000-000026010000}"/>
    <cellStyle name="_Log Book_050906 3_FY09_8월 가격표_ISS" xfId="300" xr:uid="{00000000-0005-0000-0000-000027010000}"/>
    <cellStyle name="_Log Book_050906 4" xfId="301" xr:uid="{00000000-0005-0000-0000-000028010000}"/>
    <cellStyle name="_Log Book_050906 4_FY09_8월 가격표_ISS" xfId="302" xr:uid="{00000000-0005-0000-0000-000029010000}"/>
    <cellStyle name="_Log Book_050906 5" xfId="303" xr:uid="{00000000-0005-0000-0000-00002A010000}"/>
    <cellStyle name="_Log Book_050906 5_FY09_8월 가격표_ISS" xfId="304" xr:uid="{00000000-0005-0000-0000-00002B010000}"/>
    <cellStyle name="_Log Book_050906 6" xfId="305" xr:uid="{00000000-0005-0000-0000-00002C010000}"/>
    <cellStyle name="_Log Book_050906 6_FY09_8월 가격표_ISS" xfId="306" xr:uid="{00000000-0005-0000-0000-00002D010000}"/>
    <cellStyle name="_Log Book_050906 7" xfId="307" xr:uid="{00000000-0005-0000-0000-00002E010000}"/>
    <cellStyle name="_Log Book_050906 7_FY09_8월 가격표_ISS" xfId="308" xr:uid="{00000000-0005-0000-0000-00002F010000}"/>
    <cellStyle name="_Log Book_050906 8" xfId="309" xr:uid="{00000000-0005-0000-0000-000030010000}"/>
    <cellStyle name="_Log Book_050906 8_FY09_8월 가격표_ISS" xfId="310" xr:uid="{00000000-0005-0000-0000-000031010000}"/>
    <cellStyle name="_Log Book_050906 9" xfId="311" xr:uid="{00000000-0005-0000-0000-000032010000}"/>
    <cellStyle name="_Log Book_050906 9_FY09_8월 가격표_ISS" xfId="312" xr:uid="{00000000-0005-0000-0000-000033010000}"/>
    <cellStyle name="_Log Book_050906_ISS_FY08_10월가격표_final013xls" xfId="313" xr:uid="{00000000-0005-0000-0000-000034010000}"/>
    <cellStyle name="_Log Book_050906_ISS_FY08_10월가격표_final013xls 2" xfId="314" xr:uid="{00000000-0005-0000-0000-000035010000}"/>
    <cellStyle name="_Log Book_050906_ISS_FY08_10월가격표_final013xls 2_FY09_8월 가격표_ISS" xfId="315" xr:uid="{00000000-0005-0000-0000-000036010000}"/>
    <cellStyle name="_Log Book_050906_ISS_FY08_10월가격표_final013xls 3" xfId="316" xr:uid="{00000000-0005-0000-0000-000037010000}"/>
    <cellStyle name="_Log Book_050906_ISS_FY08_10월가격표_final013xls 3_FY09_8월 가격표_ISS" xfId="317" xr:uid="{00000000-0005-0000-0000-000038010000}"/>
    <cellStyle name="_Log Book_050906_ISS_FY08_10월가격표_final013xls 4" xfId="318" xr:uid="{00000000-0005-0000-0000-000039010000}"/>
    <cellStyle name="_Log Book_050906_ISS_FY08_10월가격표_final013xls 4_FY09_8월 가격표_ISS" xfId="319" xr:uid="{00000000-0005-0000-0000-00003A010000}"/>
    <cellStyle name="_Log Book_050906_ISS_FY08_10월가격표_final013xls 5" xfId="320" xr:uid="{00000000-0005-0000-0000-00003B010000}"/>
    <cellStyle name="_Log Book_050906_ISS_FY08_10월가격표_final013xls 5_FY09_8월 가격표_ISS" xfId="321" xr:uid="{00000000-0005-0000-0000-00003C010000}"/>
    <cellStyle name="_Log Book_050906_ISS_FY08_10월가격표_final013xls 6" xfId="322" xr:uid="{00000000-0005-0000-0000-00003D010000}"/>
    <cellStyle name="_Log Book_050906_ISS_FY08_10월가격표_final013xls 6_FY09_8월 가격표_ISS" xfId="323" xr:uid="{00000000-0005-0000-0000-00003E010000}"/>
    <cellStyle name="_Log Book_050906_ISS_FY08_10월가격표_final013xls 7" xfId="324" xr:uid="{00000000-0005-0000-0000-00003F010000}"/>
    <cellStyle name="_Log Book_050906_ISS_FY08_10월가격표_final013xls 7_FY09_8월 가격표_ISS" xfId="325" xr:uid="{00000000-0005-0000-0000-000040010000}"/>
    <cellStyle name="_Log Book_050906_ISS_FY08_10월가격표_final013xls 8" xfId="326" xr:uid="{00000000-0005-0000-0000-000041010000}"/>
    <cellStyle name="_Log Book_050906_ISS_FY08_10월가격표_final013xls 8_FY09_8월 가격표_ISS" xfId="327" xr:uid="{00000000-0005-0000-0000-000042010000}"/>
    <cellStyle name="_Log Book_050906_ISS_FY08_10월가격표_final013xls 9" xfId="328" xr:uid="{00000000-0005-0000-0000-000043010000}"/>
    <cellStyle name="_Log Book_050906_ISS_FY08_10월가격표_final013xls 9_FY09_8월 가격표_ISS" xfId="329" xr:uid="{00000000-0005-0000-0000-000044010000}"/>
    <cellStyle name="_Log Book_050930" xfId="330" xr:uid="{00000000-0005-0000-0000-000045010000}"/>
    <cellStyle name="_Log Book_050930 2" xfId="331" xr:uid="{00000000-0005-0000-0000-000046010000}"/>
    <cellStyle name="_Log Book_050930 2_FY09_8월 가격표_ISS" xfId="332" xr:uid="{00000000-0005-0000-0000-000047010000}"/>
    <cellStyle name="_Log Book_050930 3" xfId="333" xr:uid="{00000000-0005-0000-0000-000048010000}"/>
    <cellStyle name="_Log Book_050930 3_FY09_8월 가격표_ISS" xfId="334" xr:uid="{00000000-0005-0000-0000-000049010000}"/>
    <cellStyle name="_Log Book_050930 4" xfId="335" xr:uid="{00000000-0005-0000-0000-00004A010000}"/>
    <cellStyle name="_Log Book_050930 4_FY09_8월 가격표_ISS" xfId="336" xr:uid="{00000000-0005-0000-0000-00004B010000}"/>
    <cellStyle name="_Log Book_050930 5" xfId="337" xr:uid="{00000000-0005-0000-0000-00004C010000}"/>
    <cellStyle name="_Log Book_050930 5_FY09_8월 가격표_ISS" xfId="338" xr:uid="{00000000-0005-0000-0000-00004D010000}"/>
    <cellStyle name="_Log Book_050930 6" xfId="339" xr:uid="{00000000-0005-0000-0000-00004E010000}"/>
    <cellStyle name="_Log Book_050930 6_FY09_8월 가격표_ISS" xfId="340" xr:uid="{00000000-0005-0000-0000-00004F010000}"/>
    <cellStyle name="_Log Book_050930 7" xfId="341" xr:uid="{00000000-0005-0000-0000-000050010000}"/>
    <cellStyle name="_Log Book_050930 7_FY09_8월 가격표_ISS" xfId="342" xr:uid="{00000000-0005-0000-0000-000051010000}"/>
    <cellStyle name="_Log Book_050930 8" xfId="343" xr:uid="{00000000-0005-0000-0000-000052010000}"/>
    <cellStyle name="_Log Book_050930 8_FY09_8월 가격표_ISS" xfId="344" xr:uid="{00000000-0005-0000-0000-000053010000}"/>
    <cellStyle name="_Log Book_050930 9" xfId="345" xr:uid="{00000000-0005-0000-0000-000054010000}"/>
    <cellStyle name="_Log Book_050930 9_FY09_8월 가격표_ISS" xfId="346" xr:uid="{00000000-0005-0000-0000-000055010000}"/>
    <cellStyle name="_Log Book_050930_ISS_FY08_10월가격표_final013xls" xfId="347" xr:uid="{00000000-0005-0000-0000-000056010000}"/>
    <cellStyle name="_Log Book_050930_ISS_FY08_10월가격표_final013xls 2" xfId="348" xr:uid="{00000000-0005-0000-0000-000057010000}"/>
    <cellStyle name="_Log Book_050930_ISS_FY08_10월가격표_final013xls 2_FY09_8월 가격표_ISS" xfId="349" xr:uid="{00000000-0005-0000-0000-000058010000}"/>
    <cellStyle name="_Log Book_050930_ISS_FY08_10월가격표_final013xls 3" xfId="350" xr:uid="{00000000-0005-0000-0000-000059010000}"/>
    <cellStyle name="_Log Book_050930_ISS_FY08_10월가격표_final013xls 3_FY09_8월 가격표_ISS" xfId="351" xr:uid="{00000000-0005-0000-0000-00005A010000}"/>
    <cellStyle name="_Log Book_050930_ISS_FY08_10월가격표_final013xls 4" xfId="352" xr:uid="{00000000-0005-0000-0000-00005B010000}"/>
    <cellStyle name="_Log Book_050930_ISS_FY08_10월가격표_final013xls 4_FY09_8월 가격표_ISS" xfId="353" xr:uid="{00000000-0005-0000-0000-00005C010000}"/>
    <cellStyle name="_Log Book_050930_ISS_FY08_10월가격표_final013xls 5" xfId="354" xr:uid="{00000000-0005-0000-0000-00005D010000}"/>
    <cellStyle name="_Log Book_050930_ISS_FY08_10월가격표_final013xls 5_FY09_8월 가격표_ISS" xfId="355" xr:uid="{00000000-0005-0000-0000-00005E010000}"/>
    <cellStyle name="_Log Book_050930_ISS_FY08_10월가격표_final013xls 6" xfId="356" xr:uid="{00000000-0005-0000-0000-00005F010000}"/>
    <cellStyle name="_Log Book_050930_ISS_FY08_10월가격표_final013xls 6_FY09_8월 가격표_ISS" xfId="357" xr:uid="{00000000-0005-0000-0000-000060010000}"/>
    <cellStyle name="_Log Book_050930_ISS_FY08_10월가격표_final013xls 7" xfId="358" xr:uid="{00000000-0005-0000-0000-000061010000}"/>
    <cellStyle name="_Log Book_050930_ISS_FY08_10월가격표_final013xls 7_FY09_8월 가격표_ISS" xfId="359" xr:uid="{00000000-0005-0000-0000-000062010000}"/>
    <cellStyle name="_Log Book_050930_ISS_FY08_10월가격표_final013xls 8" xfId="360" xr:uid="{00000000-0005-0000-0000-000063010000}"/>
    <cellStyle name="_Log Book_050930_ISS_FY08_10월가격표_final013xls 8_FY09_8월 가격표_ISS" xfId="361" xr:uid="{00000000-0005-0000-0000-000064010000}"/>
    <cellStyle name="_Log Book_050930_ISS_FY08_10월가격표_final013xls 9" xfId="362" xr:uid="{00000000-0005-0000-0000-000065010000}"/>
    <cellStyle name="_Log Book_050930_ISS_FY08_10월가격표_final013xls 9_FY09_8월 가격표_ISS" xfId="363" xr:uid="{00000000-0005-0000-0000-000066010000}"/>
    <cellStyle name="_Log Book_051107" xfId="364" xr:uid="{00000000-0005-0000-0000-000067010000}"/>
    <cellStyle name="_Log Book_051107 2" xfId="365" xr:uid="{00000000-0005-0000-0000-000068010000}"/>
    <cellStyle name="_Log Book_051107 2_FY09_8월 가격표_ISS" xfId="366" xr:uid="{00000000-0005-0000-0000-000069010000}"/>
    <cellStyle name="_Log Book_051107 3" xfId="367" xr:uid="{00000000-0005-0000-0000-00006A010000}"/>
    <cellStyle name="_Log Book_051107 3_FY09_8월 가격표_ISS" xfId="368" xr:uid="{00000000-0005-0000-0000-00006B010000}"/>
    <cellStyle name="_Log Book_051107 4" xfId="369" xr:uid="{00000000-0005-0000-0000-00006C010000}"/>
    <cellStyle name="_Log Book_051107 4_FY09_8월 가격표_ISS" xfId="370" xr:uid="{00000000-0005-0000-0000-00006D010000}"/>
    <cellStyle name="_Log Book_051107 5" xfId="371" xr:uid="{00000000-0005-0000-0000-00006E010000}"/>
    <cellStyle name="_Log Book_051107 5_FY09_8월 가격표_ISS" xfId="372" xr:uid="{00000000-0005-0000-0000-00006F010000}"/>
    <cellStyle name="_Log Book_051107 6" xfId="373" xr:uid="{00000000-0005-0000-0000-000070010000}"/>
    <cellStyle name="_Log Book_051107 6_FY09_8월 가격표_ISS" xfId="374" xr:uid="{00000000-0005-0000-0000-000071010000}"/>
    <cellStyle name="_Log Book_051107 7" xfId="375" xr:uid="{00000000-0005-0000-0000-000072010000}"/>
    <cellStyle name="_Log Book_051107 7_FY09_8월 가격표_ISS" xfId="376" xr:uid="{00000000-0005-0000-0000-000073010000}"/>
    <cellStyle name="_Log Book_051107 8" xfId="377" xr:uid="{00000000-0005-0000-0000-000074010000}"/>
    <cellStyle name="_Log Book_051107 8_FY09_8월 가격표_ISS" xfId="378" xr:uid="{00000000-0005-0000-0000-000075010000}"/>
    <cellStyle name="_Log Book_051107 9" xfId="379" xr:uid="{00000000-0005-0000-0000-000076010000}"/>
    <cellStyle name="_Log Book_051107 9_FY09_8월 가격표_ISS" xfId="380" xr:uid="{00000000-0005-0000-0000-000077010000}"/>
    <cellStyle name="_Log Book_051107_ISS_FY08_10월가격표_final013xls" xfId="381" xr:uid="{00000000-0005-0000-0000-000078010000}"/>
    <cellStyle name="_Log Book_051107_ISS_FY08_10월가격표_final013xls 2" xfId="382" xr:uid="{00000000-0005-0000-0000-000079010000}"/>
    <cellStyle name="_Log Book_051107_ISS_FY08_10월가격표_final013xls 2_FY09_8월 가격표_ISS" xfId="383" xr:uid="{00000000-0005-0000-0000-00007A010000}"/>
    <cellStyle name="_Log Book_051107_ISS_FY08_10월가격표_final013xls 3" xfId="384" xr:uid="{00000000-0005-0000-0000-00007B010000}"/>
    <cellStyle name="_Log Book_051107_ISS_FY08_10월가격표_final013xls 3_FY09_8월 가격표_ISS" xfId="385" xr:uid="{00000000-0005-0000-0000-00007C010000}"/>
    <cellStyle name="_Log Book_051107_ISS_FY08_10월가격표_final013xls 4" xfId="386" xr:uid="{00000000-0005-0000-0000-00007D010000}"/>
    <cellStyle name="_Log Book_051107_ISS_FY08_10월가격표_final013xls 4_FY09_8월 가격표_ISS" xfId="387" xr:uid="{00000000-0005-0000-0000-00007E010000}"/>
    <cellStyle name="_Log Book_051107_ISS_FY08_10월가격표_final013xls 5" xfId="388" xr:uid="{00000000-0005-0000-0000-00007F010000}"/>
    <cellStyle name="_Log Book_051107_ISS_FY08_10월가격표_final013xls 5_FY09_8월 가격표_ISS" xfId="389" xr:uid="{00000000-0005-0000-0000-000080010000}"/>
    <cellStyle name="_Log Book_051107_ISS_FY08_10월가격표_final013xls 6" xfId="390" xr:uid="{00000000-0005-0000-0000-000081010000}"/>
    <cellStyle name="_Log Book_051107_ISS_FY08_10월가격표_final013xls 6_FY09_8월 가격표_ISS" xfId="391" xr:uid="{00000000-0005-0000-0000-000082010000}"/>
    <cellStyle name="_Log Book_051107_ISS_FY08_10월가격표_final013xls 7" xfId="392" xr:uid="{00000000-0005-0000-0000-000083010000}"/>
    <cellStyle name="_Log Book_051107_ISS_FY08_10월가격표_final013xls 7_FY09_8월 가격표_ISS" xfId="393" xr:uid="{00000000-0005-0000-0000-000084010000}"/>
    <cellStyle name="_Log Book_051107_ISS_FY08_10월가격표_final013xls 8" xfId="394" xr:uid="{00000000-0005-0000-0000-000085010000}"/>
    <cellStyle name="_Log Book_051107_ISS_FY08_10월가격표_final013xls 8_FY09_8월 가격표_ISS" xfId="395" xr:uid="{00000000-0005-0000-0000-000086010000}"/>
    <cellStyle name="_Log Book_051107_ISS_FY08_10월가격표_final013xls 9" xfId="396" xr:uid="{00000000-0005-0000-0000-000087010000}"/>
    <cellStyle name="_Log Book_051107_ISS_FY08_10월가격표_final013xls 9_FY09_8월 가격표_ISS" xfId="397" xr:uid="{00000000-0005-0000-0000-000088010000}"/>
    <cellStyle name="_Log Book_060301" xfId="398" xr:uid="{00000000-0005-0000-0000-000089010000}"/>
    <cellStyle name="_Log Book_060301 2" xfId="399" xr:uid="{00000000-0005-0000-0000-00008A010000}"/>
    <cellStyle name="_Log Book_060301 2_FY09_8월 가격표_ISS" xfId="400" xr:uid="{00000000-0005-0000-0000-00008B010000}"/>
    <cellStyle name="_Log Book_060301 3" xfId="401" xr:uid="{00000000-0005-0000-0000-00008C010000}"/>
    <cellStyle name="_Log Book_060301 3_FY09_8월 가격표_ISS" xfId="402" xr:uid="{00000000-0005-0000-0000-00008D010000}"/>
    <cellStyle name="_Log Book_060301 4" xfId="403" xr:uid="{00000000-0005-0000-0000-00008E010000}"/>
    <cellStyle name="_Log Book_060301 4_FY09_8월 가격표_ISS" xfId="404" xr:uid="{00000000-0005-0000-0000-00008F010000}"/>
    <cellStyle name="_Log Book_060301 5" xfId="405" xr:uid="{00000000-0005-0000-0000-000090010000}"/>
    <cellStyle name="_Log Book_060301 5_FY09_8월 가격표_ISS" xfId="406" xr:uid="{00000000-0005-0000-0000-000091010000}"/>
    <cellStyle name="_Log Book_060301 6" xfId="407" xr:uid="{00000000-0005-0000-0000-000092010000}"/>
    <cellStyle name="_Log Book_060301 6_FY09_8월 가격표_ISS" xfId="408" xr:uid="{00000000-0005-0000-0000-000093010000}"/>
    <cellStyle name="_Log Book_060301 7" xfId="409" xr:uid="{00000000-0005-0000-0000-000094010000}"/>
    <cellStyle name="_Log Book_060301 7_FY09_8월 가격표_ISS" xfId="410" xr:uid="{00000000-0005-0000-0000-000095010000}"/>
    <cellStyle name="_Log Book_060301 8" xfId="411" xr:uid="{00000000-0005-0000-0000-000096010000}"/>
    <cellStyle name="_Log Book_060301 8_FY09_8월 가격표_ISS" xfId="412" xr:uid="{00000000-0005-0000-0000-000097010000}"/>
    <cellStyle name="_Log Book_060301 9" xfId="413" xr:uid="{00000000-0005-0000-0000-000098010000}"/>
    <cellStyle name="_Log Book_060301 9_FY09_8월 가격표_ISS" xfId="414" xr:uid="{00000000-0005-0000-0000-000099010000}"/>
    <cellStyle name="_Log Book_060301_ISS_FY08_10월가격표_final013xls" xfId="415" xr:uid="{00000000-0005-0000-0000-00009A010000}"/>
    <cellStyle name="_Log Book_060301_ISS_FY08_10월가격표_final013xls 2" xfId="416" xr:uid="{00000000-0005-0000-0000-00009B010000}"/>
    <cellStyle name="_Log Book_060301_ISS_FY08_10월가격표_final013xls 2_FY09_8월 가격표_ISS" xfId="417" xr:uid="{00000000-0005-0000-0000-00009C010000}"/>
    <cellStyle name="_Log Book_060301_ISS_FY08_10월가격표_final013xls 3" xfId="418" xr:uid="{00000000-0005-0000-0000-00009D010000}"/>
    <cellStyle name="_Log Book_060301_ISS_FY08_10월가격표_final013xls 3_FY09_8월 가격표_ISS" xfId="419" xr:uid="{00000000-0005-0000-0000-00009E010000}"/>
    <cellStyle name="_Log Book_060301_ISS_FY08_10월가격표_final013xls 4" xfId="420" xr:uid="{00000000-0005-0000-0000-00009F010000}"/>
    <cellStyle name="_Log Book_060301_ISS_FY08_10월가격표_final013xls 4_FY09_8월 가격표_ISS" xfId="421" xr:uid="{00000000-0005-0000-0000-0000A0010000}"/>
    <cellStyle name="_Log Book_060301_ISS_FY08_10월가격표_final013xls 5" xfId="422" xr:uid="{00000000-0005-0000-0000-0000A1010000}"/>
    <cellStyle name="_Log Book_060301_ISS_FY08_10월가격표_final013xls 5_FY09_8월 가격표_ISS" xfId="423" xr:uid="{00000000-0005-0000-0000-0000A2010000}"/>
    <cellStyle name="_Log Book_060301_ISS_FY08_10월가격표_final013xls 6" xfId="424" xr:uid="{00000000-0005-0000-0000-0000A3010000}"/>
    <cellStyle name="_Log Book_060301_ISS_FY08_10월가격표_final013xls 6_FY09_8월 가격표_ISS" xfId="425" xr:uid="{00000000-0005-0000-0000-0000A4010000}"/>
    <cellStyle name="_Log Book_060301_ISS_FY08_10월가격표_final013xls 7" xfId="426" xr:uid="{00000000-0005-0000-0000-0000A5010000}"/>
    <cellStyle name="_Log Book_060301_ISS_FY08_10월가격표_final013xls 7_FY09_8월 가격표_ISS" xfId="427" xr:uid="{00000000-0005-0000-0000-0000A6010000}"/>
    <cellStyle name="_Log Book_060301_ISS_FY08_10월가격표_final013xls 8" xfId="428" xr:uid="{00000000-0005-0000-0000-0000A7010000}"/>
    <cellStyle name="_Log Book_060301_ISS_FY08_10월가격표_final013xls 8_FY09_8월 가격표_ISS" xfId="429" xr:uid="{00000000-0005-0000-0000-0000A8010000}"/>
    <cellStyle name="_Log Book_060301_ISS_FY08_10월가격표_final013xls 9" xfId="430" xr:uid="{00000000-0005-0000-0000-0000A9010000}"/>
    <cellStyle name="_Log Book_060301_ISS_FY08_10월가격표_final013xls 9_FY09_8월 가격표_ISS" xfId="431" xr:uid="{00000000-0005-0000-0000-0000AA010000}"/>
    <cellStyle name="_Log Book_060601" xfId="432" xr:uid="{00000000-0005-0000-0000-0000AB010000}"/>
    <cellStyle name="_Log Book_060601 2" xfId="433" xr:uid="{00000000-0005-0000-0000-0000AC010000}"/>
    <cellStyle name="_Log Book_060601 2_FY09_8월 가격표_ISS" xfId="434" xr:uid="{00000000-0005-0000-0000-0000AD010000}"/>
    <cellStyle name="_Log Book_060601 3" xfId="435" xr:uid="{00000000-0005-0000-0000-0000AE010000}"/>
    <cellStyle name="_Log Book_060601 3_FY09_8월 가격표_ISS" xfId="436" xr:uid="{00000000-0005-0000-0000-0000AF010000}"/>
    <cellStyle name="_Log Book_060601 4" xfId="437" xr:uid="{00000000-0005-0000-0000-0000B0010000}"/>
    <cellStyle name="_Log Book_060601 4_FY09_8월 가격표_ISS" xfId="438" xr:uid="{00000000-0005-0000-0000-0000B1010000}"/>
    <cellStyle name="_Log Book_060601 5" xfId="439" xr:uid="{00000000-0005-0000-0000-0000B2010000}"/>
    <cellStyle name="_Log Book_060601 5_FY09_8월 가격표_ISS" xfId="440" xr:uid="{00000000-0005-0000-0000-0000B3010000}"/>
    <cellStyle name="_Log Book_060601 6" xfId="441" xr:uid="{00000000-0005-0000-0000-0000B4010000}"/>
    <cellStyle name="_Log Book_060601 6_FY09_8월 가격표_ISS" xfId="442" xr:uid="{00000000-0005-0000-0000-0000B5010000}"/>
    <cellStyle name="_Log Book_060601 7" xfId="443" xr:uid="{00000000-0005-0000-0000-0000B6010000}"/>
    <cellStyle name="_Log Book_060601 7_FY09_8월 가격표_ISS" xfId="444" xr:uid="{00000000-0005-0000-0000-0000B7010000}"/>
    <cellStyle name="_Log Book_060601 8" xfId="445" xr:uid="{00000000-0005-0000-0000-0000B8010000}"/>
    <cellStyle name="_Log Book_060601 8_FY09_8월 가격표_ISS" xfId="446" xr:uid="{00000000-0005-0000-0000-0000B9010000}"/>
    <cellStyle name="_Log Book_060601 9" xfId="447" xr:uid="{00000000-0005-0000-0000-0000BA010000}"/>
    <cellStyle name="_Log Book_060601 9_FY09_8월 가격표_ISS" xfId="448" xr:uid="{00000000-0005-0000-0000-0000BB010000}"/>
    <cellStyle name="_Log Book_060601_ISS_FY08_10월가격표_final013xls" xfId="449" xr:uid="{00000000-0005-0000-0000-0000BC010000}"/>
    <cellStyle name="_Log Book_060601_ISS_FY08_10월가격표_final013xls 2" xfId="450" xr:uid="{00000000-0005-0000-0000-0000BD010000}"/>
    <cellStyle name="_Log Book_060601_ISS_FY08_10월가격표_final013xls 2_FY09_8월 가격표_ISS" xfId="451" xr:uid="{00000000-0005-0000-0000-0000BE010000}"/>
    <cellStyle name="_Log Book_060601_ISS_FY08_10월가격표_final013xls 3" xfId="452" xr:uid="{00000000-0005-0000-0000-0000BF010000}"/>
    <cellStyle name="_Log Book_060601_ISS_FY08_10월가격표_final013xls 3_FY09_8월 가격표_ISS" xfId="453" xr:uid="{00000000-0005-0000-0000-0000C0010000}"/>
    <cellStyle name="_Log Book_060601_ISS_FY08_10월가격표_final013xls 4" xfId="454" xr:uid="{00000000-0005-0000-0000-0000C1010000}"/>
    <cellStyle name="_Log Book_060601_ISS_FY08_10월가격표_final013xls 4_FY09_8월 가격표_ISS" xfId="455" xr:uid="{00000000-0005-0000-0000-0000C2010000}"/>
    <cellStyle name="_Log Book_060601_ISS_FY08_10월가격표_final013xls 5" xfId="456" xr:uid="{00000000-0005-0000-0000-0000C3010000}"/>
    <cellStyle name="_Log Book_060601_ISS_FY08_10월가격표_final013xls 5_FY09_8월 가격표_ISS" xfId="457" xr:uid="{00000000-0005-0000-0000-0000C4010000}"/>
    <cellStyle name="_Log Book_060601_ISS_FY08_10월가격표_final013xls 6" xfId="458" xr:uid="{00000000-0005-0000-0000-0000C5010000}"/>
    <cellStyle name="_Log Book_060601_ISS_FY08_10월가격표_final013xls 6_FY09_8월 가격표_ISS" xfId="459" xr:uid="{00000000-0005-0000-0000-0000C6010000}"/>
    <cellStyle name="_Log Book_060601_ISS_FY08_10월가격표_final013xls 7" xfId="460" xr:uid="{00000000-0005-0000-0000-0000C7010000}"/>
    <cellStyle name="_Log Book_060601_ISS_FY08_10월가격표_final013xls 7_FY09_8월 가격표_ISS" xfId="461" xr:uid="{00000000-0005-0000-0000-0000C8010000}"/>
    <cellStyle name="_Log Book_060601_ISS_FY08_10월가격표_final013xls 8" xfId="462" xr:uid="{00000000-0005-0000-0000-0000C9010000}"/>
    <cellStyle name="_Log Book_060601_ISS_FY08_10월가격표_final013xls 8_FY09_8월 가격표_ISS" xfId="463" xr:uid="{00000000-0005-0000-0000-0000CA010000}"/>
    <cellStyle name="_Log Book_060601_ISS_FY08_10월가격표_final013xls 9" xfId="464" xr:uid="{00000000-0005-0000-0000-0000CB010000}"/>
    <cellStyle name="_Log Book_060601_ISS_FY08_10월가격표_final013xls 9_FY09_8월 가격표_ISS" xfId="465" xr:uid="{00000000-0005-0000-0000-0000CC010000}"/>
    <cellStyle name="_new_FY05 1X Weekly Stock Report(as of July 31)" xfId="466" xr:uid="{00000000-0005-0000-0000-0000CD010000}"/>
    <cellStyle name="_PL 06" xfId="467" xr:uid="{00000000-0005-0000-0000-0000CE010000}"/>
    <cellStyle name="_PL UW" xfId="468" xr:uid="{00000000-0005-0000-0000-0000CF010000}"/>
    <cellStyle name="_ProCurve Quick Reference Card - April 2006" xfId="469" xr:uid="{00000000-0005-0000-0000-0000D0010000}"/>
    <cellStyle name="_ProCurve Quick Reference Card - August 2006" xfId="470" xr:uid="{00000000-0005-0000-0000-0000D1010000}"/>
    <cellStyle name="_ProCurve Quick Reference Card - December 2005" xfId="471" xr:uid="{00000000-0005-0000-0000-0000D2010000}"/>
    <cellStyle name="_ProCurve Quick Reference Card - December 2006" xfId="472" xr:uid="{00000000-0005-0000-0000-0000D3010000}"/>
    <cellStyle name="_ProCurve Quick Reference Card - February 2007" xfId="473" xr:uid="{00000000-0005-0000-0000-0000D4010000}"/>
    <cellStyle name="_ProCurve Quick Reference Card - January 2006" xfId="474" xr:uid="{00000000-0005-0000-0000-0000D5010000}"/>
    <cellStyle name="_ProCurve Quick Reference Card - July 1 2005" xfId="475" xr:uid="{00000000-0005-0000-0000-0000D6010000}"/>
    <cellStyle name="_ProCurve Quick Reference Card - July 1 2005_Book1" xfId="476" xr:uid="{00000000-0005-0000-0000-0000D7010000}"/>
    <cellStyle name="_ProCurve Quick Reference Card - July 1 2005_HP_Care_Pack_Aug05" xfId="477" xr:uid="{00000000-0005-0000-0000-0000D8010000}"/>
    <cellStyle name="_ProCurve Quick Reference Card - July 1 2005_HP_Care_Pack_Dec06" xfId="478" xr:uid="{00000000-0005-0000-0000-0000D9010000}"/>
    <cellStyle name="_ProCurve Quick Reference Card - July 1 2005_HP_Care_Pack_July05" xfId="479" xr:uid="{00000000-0005-0000-0000-0000DA010000}"/>
    <cellStyle name="_ProCurve Quick Reference Card - July 2006" xfId="480" xr:uid="{00000000-0005-0000-0000-0000DB010000}"/>
    <cellStyle name="_ProCurve Quick Reference Card - July 2007" xfId="481" xr:uid="{00000000-0005-0000-0000-0000DC010000}"/>
    <cellStyle name="_ProCurve Quick Reference Card - June 2006" xfId="482" xr:uid="{00000000-0005-0000-0000-0000DD010000}"/>
    <cellStyle name="_ProCurve Quick Reference Card - March 2007" xfId="483" xr:uid="{00000000-0005-0000-0000-0000DE010000}"/>
    <cellStyle name="_ProCurve Quick Reference Card - May 2006" xfId="484" xr:uid="{00000000-0005-0000-0000-0000DF010000}"/>
    <cellStyle name="_ProCurve Quick Reference Card - May 2007" xfId="485" xr:uid="{00000000-0005-0000-0000-0000E0010000}"/>
    <cellStyle name="_ProCurve Quick Reference Card - October 1  2005" xfId="486" xr:uid="{00000000-0005-0000-0000-0000E1010000}"/>
    <cellStyle name="_ProCurve Quick Reference Card - October 2005 v2" xfId="487" xr:uid="{00000000-0005-0000-0000-0000E2010000}"/>
    <cellStyle name="_PSG inventory_14.Dec" xfId="488" xr:uid="{00000000-0005-0000-0000-0000E3010000}"/>
    <cellStyle name="_PSG inventory_23.Dec" xfId="489" xr:uid="{00000000-0005-0000-0000-0000E4010000}"/>
    <cellStyle name="_PSG inventory_28.Dec" xfId="490" xr:uid="{00000000-0005-0000-0000-0000E5010000}"/>
    <cellStyle name="_psg stock" xfId="491" xr:uid="{00000000-0005-0000-0000-0000E6010000}"/>
    <cellStyle name="_R8_CPQRC Storage 7-29-05" xfId="492" xr:uid="{00000000-0005-0000-0000-0000E7010000}"/>
    <cellStyle name="_클레임 요청한딜 1018" xfId="493" xr:uid="{00000000-0005-0000-0000-0000E8010000}"/>
    <cellStyle name="_클레임 요청한딜 1018 2" xfId="494" xr:uid="{00000000-0005-0000-0000-0000E9010000}"/>
    <cellStyle name="_클레임 요청한딜 1018 2_FY09_8월 가격표_ISS" xfId="495" xr:uid="{00000000-0005-0000-0000-0000EA010000}"/>
    <cellStyle name="_클레임 요청한딜 1018 3" xfId="496" xr:uid="{00000000-0005-0000-0000-0000EB010000}"/>
    <cellStyle name="_클레임 요청한딜 1018 3_FY09_8월 가격표_ISS" xfId="497" xr:uid="{00000000-0005-0000-0000-0000EC010000}"/>
    <cellStyle name="_클레임 요청한딜 1018 4" xfId="498" xr:uid="{00000000-0005-0000-0000-0000ED010000}"/>
    <cellStyle name="_클레임 요청한딜 1018 4_FY09_8월 가격표_ISS" xfId="499" xr:uid="{00000000-0005-0000-0000-0000EE010000}"/>
    <cellStyle name="_클레임 요청한딜 1018 5" xfId="500" xr:uid="{00000000-0005-0000-0000-0000EF010000}"/>
    <cellStyle name="_클레임 요청한딜 1018 5_FY09_8월 가격표_ISS" xfId="501" xr:uid="{00000000-0005-0000-0000-0000F0010000}"/>
    <cellStyle name="_클레임 요청한딜 1018 6" xfId="502" xr:uid="{00000000-0005-0000-0000-0000F1010000}"/>
    <cellStyle name="_클레임 요청한딜 1018 6_FY09_8월 가격표_ISS" xfId="503" xr:uid="{00000000-0005-0000-0000-0000F2010000}"/>
    <cellStyle name="_클레임 요청한딜 1018 7" xfId="504" xr:uid="{00000000-0005-0000-0000-0000F3010000}"/>
    <cellStyle name="_클레임 요청한딜 1018 7_FY09_8월 가격표_ISS" xfId="505" xr:uid="{00000000-0005-0000-0000-0000F4010000}"/>
    <cellStyle name="_클레임 요청한딜 1018 8" xfId="506" xr:uid="{00000000-0005-0000-0000-0000F5010000}"/>
    <cellStyle name="_클레임 요청한딜 1018 8_FY09_8월 가격표_ISS" xfId="507" xr:uid="{00000000-0005-0000-0000-0000F6010000}"/>
    <cellStyle name="_클레임 요청한딜 1018 9" xfId="508" xr:uid="{00000000-0005-0000-0000-0000F7010000}"/>
    <cellStyle name="_클레임 요청한딜 1018 9_FY09_8월 가격표_ISS" xfId="509" xr:uid="{00000000-0005-0000-0000-0000F8010000}"/>
    <cellStyle name="_클레임 요청한딜 1018_ISS_FY08_10월가격표_final013xls" xfId="510" xr:uid="{00000000-0005-0000-0000-0000F9010000}"/>
    <cellStyle name="_클레임 요청한딜 1018_ISS_FY08_10월가격표_final013xls 2" xfId="511" xr:uid="{00000000-0005-0000-0000-0000FA010000}"/>
    <cellStyle name="_클레임 요청한딜 1018_ISS_FY08_10월가격표_final013xls 2_FY09_8월 가격표_ISS" xfId="512" xr:uid="{00000000-0005-0000-0000-0000FB010000}"/>
    <cellStyle name="_클레임 요청한딜 1018_ISS_FY08_10월가격표_final013xls 3" xfId="513" xr:uid="{00000000-0005-0000-0000-0000FC010000}"/>
    <cellStyle name="_클레임 요청한딜 1018_ISS_FY08_10월가격표_final013xls 3_FY09_8월 가격표_ISS" xfId="514" xr:uid="{00000000-0005-0000-0000-0000FD010000}"/>
    <cellStyle name="_클레임 요청한딜 1018_ISS_FY08_10월가격표_final013xls 4" xfId="515" xr:uid="{00000000-0005-0000-0000-0000FE010000}"/>
    <cellStyle name="_클레임 요청한딜 1018_ISS_FY08_10월가격표_final013xls 4_FY09_8월 가격표_ISS" xfId="516" xr:uid="{00000000-0005-0000-0000-0000FF010000}"/>
    <cellStyle name="_클레임 요청한딜 1018_ISS_FY08_10월가격표_final013xls 5" xfId="517" xr:uid="{00000000-0005-0000-0000-000000020000}"/>
    <cellStyle name="_클레임 요청한딜 1018_ISS_FY08_10월가격표_final013xls 5_FY09_8월 가격표_ISS" xfId="518" xr:uid="{00000000-0005-0000-0000-000001020000}"/>
    <cellStyle name="_클레임 요청한딜 1018_ISS_FY08_10월가격표_final013xls 6" xfId="519" xr:uid="{00000000-0005-0000-0000-000002020000}"/>
    <cellStyle name="_클레임 요청한딜 1018_ISS_FY08_10월가격표_final013xls 6_FY09_8월 가격표_ISS" xfId="520" xr:uid="{00000000-0005-0000-0000-000003020000}"/>
    <cellStyle name="_클레임 요청한딜 1018_ISS_FY08_10월가격표_final013xls 7" xfId="521" xr:uid="{00000000-0005-0000-0000-000004020000}"/>
    <cellStyle name="_클레임 요청한딜 1018_ISS_FY08_10월가격표_final013xls 7_FY09_8월 가격표_ISS" xfId="522" xr:uid="{00000000-0005-0000-0000-000005020000}"/>
    <cellStyle name="_클레임 요청한딜 1018_ISS_FY08_10월가격표_final013xls 8" xfId="523" xr:uid="{00000000-0005-0000-0000-000006020000}"/>
    <cellStyle name="_클레임 요청한딜 1018_ISS_FY08_10월가격표_final013xls 8_FY09_8월 가격표_ISS" xfId="524" xr:uid="{00000000-0005-0000-0000-000007020000}"/>
    <cellStyle name="_클레임 요청한딜 1018_ISS_FY08_10월가격표_final013xls 9" xfId="525" xr:uid="{00000000-0005-0000-0000-000008020000}"/>
    <cellStyle name="_클레임 요청한딜 1018_ISS_FY08_10월가격표_final013xls 9_FY09_8월 가격표_ISS" xfId="526" xr:uid="{00000000-0005-0000-0000-000009020000}"/>
    <cellStyle name="0,0_x000d__x000a_NA_x000d__x000a_" xfId="527" xr:uid="{00000000-0005-0000-0000-00000A020000}"/>
    <cellStyle name="20% - Accent1" xfId="528" xr:uid="{00000000-0005-0000-0000-00000B020000}"/>
    <cellStyle name="20% - Accent1 2" xfId="529" xr:uid="{00000000-0005-0000-0000-00000C020000}"/>
    <cellStyle name="20% - Accent1 3" xfId="530" xr:uid="{00000000-0005-0000-0000-00000D020000}"/>
    <cellStyle name="20% - Accent1 4" xfId="531" xr:uid="{00000000-0005-0000-0000-00000E020000}"/>
    <cellStyle name="20% - Accent1 5" xfId="532" xr:uid="{00000000-0005-0000-0000-00000F020000}"/>
    <cellStyle name="20% - Accent2" xfId="533" xr:uid="{00000000-0005-0000-0000-000010020000}"/>
    <cellStyle name="20% - Accent2 2" xfId="534" xr:uid="{00000000-0005-0000-0000-000011020000}"/>
    <cellStyle name="20% - Accent2 3" xfId="535" xr:uid="{00000000-0005-0000-0000-000012020000}"/>
    <cellStyle name="20% - Accent2 4" xfId="536" xr:uid="{00000000-0005-0000-0000-000013020000}"/>
    <cellStyle name="20% - Accent2 5" xfId="537" xr:uid="{00000000-0005-0000-0000-000014020000}"/>
    <cellStyle name="20% - Accent3" xfId="538" xr:uid="{00000000-0005-0000-0000-000015020000}"/>
    <cellStyle name="20% - Accent3 2" xfId="539" xr:uid="{00000000-0005-0000-0000-000016020000}"/>
    <cellStyle name="20% - Accent3 3" xfId="540" xr:uid="{00000000-0005-0000-0000-000017020000}"/>
    <cellStyle name="20% - Accent3 4" xfId="541" xr:uid="{00000000-0005-0000-0000-000018020000}"/>
    <cellStyle name="20% - Accent3 5" xfId="542" xr:uid="{00000000-0005-0000-0000-000019020000}"/>
    <cellStyle name="20% - Accent4" xfId="543" xr:uid="{00000000-0005-0000-0000-00001A020000}"/>
    <cellStyle name="20% - Accent4 2" xfId="544" xr:uid="{00000000-0005-0000-0000-00001B020000}"/>
    <cellStyle name="20% - Accent4 3" xfId="545" xr:uid="{00000000-0005-0000-0000-00001C020000}"/>
    <cellStyle name="20% - Accent4 4" xfId="546" xr:uid="{00000000-0005-0000-0000-00001D020000}"/>
    <cellStyle name="20% - Accent4 5" xfId="547" xr:uid="{00000000-0005-0000-0000-00001E020000}"/>
    <cellStyle name="20% - Accent5" xfId="548" xr:uid="{00000000-0005-0000-0000-00001F020000}"/>
    <cellStyle name="20% - Accent5 2" xfId="549" xr:uid="{00000000-0005-0000-0000-000020020000}"/>
    <cellStyle name="20% - Accent5 3" xfId="550" xr:uid="{00000000-0005-0000-0000-000021020000}"/>
    <cellStyle name="20% - Accent5 4" xfId="551" xr:uid="{00000000-0005-0000-0000-000022020000}"/>
    <cellStyle name="20% - Accent5 5" xfId="552" xr:uid="{00000000-0005-0000-0000-000023020000}"/>
    <cellStyle name="20% - Accent6" xfId="553" xr:uid="{00000000-0005-0000-0000-000024020000}"/>
    <cellStyle name="20% - Accent6 2" xfId="554" xr:uid="{00000000-0005-0000-0000-000025020000}"/>
    <cellStyle name="20% - Accent6 3" xfId="555" xr:uid="{00000000-0005-0000-0000-000026020000}"/>
    <cellStyle name="20% - Accent6 4" xfId="556" xr:uid="{00000000-0005-0000-0000-000027020000}"/>
    <cellStyle name="20% - Accent6 5" xfId="557" xr:uid="{00000000-0005-0000-0000-000028020000}"/>
    <cellStyle name="20% - 강조색1 10" xfId="558" xr:uid="{00000000-0005-0000-0000-000029020000}"/>
    <cellStyle name="20% - 강조색1 11" xfId="559" xr:uid="{00000000-0005-0000-0000-00002A020000}"/>
    <cellStyle name="20% - 강조색1 12" xfId="560" xr:uid="{00000000-0005-0000-0000-00002B020000}"/>
    <cellStyle name="20% - 강조색1 2" xfId="561" xr:uid="{00000000-0005-0000-0000-00002C020000}"/>
    <cellStyle name="20% - 강조색1 2 2" xfId="562" xr:uid="{00000000-0005-0000-0000-00002D020000}"/>
    <cellStyle name="20% - 강조색1 2 3" xfId="563" xr:uid="{00000000-0005-0000-0000-00002E020000}"/>
    <cellStyle name="20% - 강조색1 2 4" xfId="564" xr:uid="{00000000-0005-0000-0000-00002F020000}"/>
    <cellStyle name="20% - 강조색1 2 5" xfId="565" xr:uid="{00000000-0005-0000-0000-000030020000}"/>
    <cellStyle name="20% - 강조색1 2 6" xfId="566" xr:uid="{00000000-0005-0000-0000-000031020000}"/>
    <cellStyle name="20% - 강조색1 2 7" xfId="567" xr:uid="{00000000-0005-0000-0000-000032020000}"/>
    <cellStyle name="20% - 강조색1 3" xfId="568" xr:uid="{00000000-0005-0000-0000-000033020000}"/>
    <cellStyle name="20% - 강조색1 3 2" xfId="569" xr:uid="{00000000-0005-0000-0000-000034020000}"/>
    <cellStyle name="20% - 강조색1 4" xfId="570" xr:uid="{00000000-0005-0000-0000-000035020000}"/>
    <cellStyle name="20% - 강조색1 5" xfId="571" xr:uid="{00000000-0005-0000-0000-000036020000}"/>
    <cellStyle name="20% - 강조색1 6" xfId="572" xr:uid="{00000000-0005-0000-0000-000037020000}"/>
    <cellStyle name="20% - 강조색1 7" xfId="573" xr:uid="{00000000-0005-0000-0000-000038020000}"/>
    <cellStyle name="20% - 강조색1 8" xfId="574" xr:uid="{00000000-0005-0000-0000-000039020000}"/>
    <cellStyle name="20% - 강조색1 9" xfId="575" xr:uid="{00000000-0005-0000-0000-00003A020000}"/>
    <cellStyle name="20% - 강조색2 10" xfId="576" xr:uid="{00000000-0005-0000-0000-00003B020000}"/>
    <cellStyle name="20% - 강조색2 11" xfId="577" xr:uid="{00000000-0005-0000-0000-00003C020000}"/>
    <cellStyle name="20% - 강조색2 12" xfId="578" xr:uid="{00000000-0005-0000-0000-00003D020000}"/>
    <cellStyle name="20% - 강조색2 2" xfId="579" xr:uid="{00000000-0005-0000-0000-00003E020000}"/>
    <cellStyle name="20% - 강조색2 2 2" xfId="580" xr:uid="{00000000-0005-0000-0000-00003F020000}"/>
    <cellStyle name="20% - 강조색2 2 3" xfId="581" xr:uid="{00000000-0005-0000-0000-000040020000}"/>
    <cellStyle name="20% - 강조색2 2 4" xfId="582" xr:uid="{00000000-0005-0000-0000-000041020000}"/>
    <cellStyle name="20% - 강조색2 2 5" xfId="583" xr:uid="{00000000-0005-0000-0000-000042020000}"/>
    <cellStyle name="20% - 강조색2 2 6" xfId="584" xr:uid="{00000000-0005-0000-0000-000043020000}"/>
    <cellStyle name="20% - 강조색2 2 7" xfId="585" xr:uid="{00000000-0005-0000-0000-000044020000}"/>
    <cellStyle name="20% - 강조색2 3" xfId="586" xr:uid="{00000000-0005-0000-0000-000045020000}"/>
    <cellStyle name="20% - 강조색2 3 2" xfId="587" xr:uid="{00000000-0005-0000-0000-000046020000}"/>
    <cellStyle name="20% - 강조색2 4" xfId="588" xr:uid="{00000000-0005-0000-0000-000047020000}"/>
    <cellStyle name="20% - 강조색2 5" xfId="589" xr:uid="{00000000-0005-0000-0000-000048020000}"/>
    <cellStyle name="20% - 강조색2 6" xfId="590" xr:uid="{00000000-0005-0000-0000-000049020000}"/>
    <cellStyle name="20% - 강조색2 7" xfId="591" xr:uid="{00000000-0005-0000-0000-00004A020000}"/>
    <cellStyle name="20% - 강조색2 8" xfId="592" xr:uid="{00000000-0005-0000-0000-00004B020000}"/>
    <cellStyle name="20% - 강조색2 9" xfId="593" xr:uid="{00000000-0005-0000-0000-00004C020000}"/>
    <cellStyle name="20% - 강조색3 10" xfId="594" xr:uid="{00000000-0005-0000-0000-00004D020000}"/>
    <cellStyle name="20% - 강조색3 11" xfId="595" xr:uid="{00000000-0005-0000-0000-00004E020000}"/>
    <cellStyle name="20% - 강조색3 12" xfId="596" xr:uid="{00000000-0005-0000-0000-00004F020000}"/>
    <cellStyle name="20% - 강조색3 2" xfId="597" xr:uid="{00000000-0005-0000-0000-000050020000}"/>
    <cellStyle name="20% - 강조색3 2 2" xfId="598" xr:uid="{00000000-0005-0000-0000-000051020000}"/>
    <cellStyle name="20% - 강조색3 2 3" xfId="599" xr:uid="{00000000-0005-0000-0000-000052020000}"/>
    <cellStyle name="20% - 강조색3 2 4" xfId="600" xr:uid="{00000000-0005-0000-0000-000053020000}"/>
    <cellStyle name="20% - 강조색3 2 5" xfId="601" xr:uid="{00000000-0005-0000-0000-000054020000}"/>
    <cellStyle name="20% - 강조색3 2 6" xfId="602" xr:uid="{00000000-0005-0000-0000-000055020000}"/>
    <cellStyle name="20% - 강조색3 2 7" xfId="603" xr:uid="{00000000-0005-0000-0000-000056020000}"/>
    <cellStyle name="20% - 강조색3 3" xfId="604" xr:uid="{00000000-0005-0000-0000-000057020000}"/>
    <cellStyle name="20% - 강조색3 3 2" xfId="605" xr:uid="{00000000-0005-0000-0000-000058020000}"/>
    <cellStyle name="20% - 강조색3 4" xfId="606" xr:uid="{00000000-0005-0000-0000-000059020000}"/>
    <cellStyle name="20% - 강조색3 5" xfId="607" xr:uid="{00000000-0005-0000-0000-00005A020000}"/>
    <cellStyle name="20% - 강조색3 6" xfId="608" xr:uid="{00000000-0005-0000-0000-00005B020000}"/>
    <cellStyle name="20% - 강조색3 7" xfId="609" xr:uid="{00000000-0005-0000-0000-00005C020000}"/>
    <cellStyle name="20% - 강조색3 8" xfId="610" xr:uid="{00000000-0005-0000-0000-00005D020000}"/>
    <cellStyle name="20% - 강조색3 9" xfId="611" xr:uid="{00000000-0005-0000-0000-00005E020000}"/>
    <cellStyle name="20% - 강조색4 10" xfId="612" xr:uid="{00000000-0005-0000-0000-00005F020000}"/>
    <cellStyle name="20% - 강조색4 11" xfId="613" xr:uid="{00000000-0005-0000-0000-000060020000}"/>
    <cellStyle name="20% - 강조색4 12" xfId="614" xr:uid="{00000000-0005-0000-0000-000061020000}"/>
    <cellStyle name="20% - 강조색4 2" xfId="615" xr:uid="{00000000-0005-0000-0000-000062020000}"/>
    <cellStyle name="20% - 강조색4 2 2" xfId="616" xr:uid="{00000000-0005-0000-0000-000063020000}"/>
    <cellStyle name="20% - 강조색4 2 3" xfId="617" xr:uid="{00000000-0005-0000-0000-000064020000}"/>
    <cellStyle name="20% - 강조색4 2 4" xfId="618" xr:uid="{00000000-0005-0000-0000-000065020000}"/>
    <cellStyle name="20% - 강조색4 2 5" xfId="619" xr:uid="{00000000-0005-0000-0000-000066020000}"/>
    <cellStyle name="20% - 강조색4 2 6" xfId="620" xr:uid="{00000000-0005-0000-0000-000067020000}"/>
    <cellStyle name="20% - 강조색4 2 7" xfId="621" xr:uid="{00000000-0005-0000-0000-000068020000}"/>
    <cellStyle name="20% - 강조색4 3" xfId="622" xr:uid="{00000000-0005-0000-0000-000069020000}"/>
    <cellStyle name="20% - 강조색4 3 2" xfId="623" xr:uid="{00000000-0005-0000-0000-00006A020000}"/>
    <cellStyle name="20% - 강조색4 4" xfId="624" xr:uid="{00000000-0005-0000-0000-00006B020000}"/>
    <cellStyle name="20% - 강조색4 5" xfId="625" xr:uid="{00000000-0005-0000-0000-00006C020000}"/>
    <cellStyle name="20% - 강조색4 6" xfId="626" xr:uid="{00000000-0005-0000-0000-00006D020000}"/>
    <cellStyle name="20% - 강조색4 7" xfId="627" xr:uid="{00000000-0005-0000-0000-00006E020000}"/>
    <cellStyle name="20% - 강조색4 8" xfId="628" xr:uid="{00000000-0005-0000-0000-00006F020000}"/>
    <cellStyle name="20% - 강조색4 9" xfId="629" xr:uid="{00000000-0005-0000-0000-000070020000}"/>
    <cellStyle name="20% - 강조색5 10" xfId="630" xr:uid="{00000000-0005-0000-0000-000071020000}"/>
    <cellStyle name="20% - 강조색5 11" xfId="631" xr:uid="{00000000-0005-0000-0000-000072020000}"/>
    <cellStyle name="20% - 강조색5 12" xfId="632" xr:uid="{00000000-0005-0000-0000-000073020000}"/>
    <cellStyle name="20% - 강조색5 2" xfId="633" xr:uid="{00000000-0005-0000-0000-000074020000}"/>
    <cellStyle name="20% - 강조색5 2 2" xfId="634" xr:uid="{00000000-0005-0000-0000-000075020000}"/>
    <cellStyle name="20% - 강조색5 2 3" xfId="635" xr:uid="{00000000-0005-0000-0000-000076020000}"/>
    <cellStyle name="20% - 강조색5 2 4" xfId="636" xr:uid="{00000000-0005-0000-0000-000077020000}"/>
    <cellStyle name="20% - 강조색5 2 5" xfId="637" xr:uid="{00000000-0005-0000-0000-000078020000}"/>
    <cellStyle name="20% - 강조색5 2 6" xfId="638" xr:uid="{00000000-0005-0000-0000-000079020000}"/>
    <cellStyle name="20% - 강조색5 2 7" xfId="639" xr:uid="{00000000-0005-0000-0000-00007A020000}"/>
    <cellStyle name="20% - 강조색5 3" xfId="640" xr:uid="{00000000-0005-0000-0000-00007B020000}"/>
    <cellStyle name="20% - 강조색5 3 2" xfId="641" xr:uid="{00000000-0005-0000-0000-00007C020000}"/>
    <cellStyle name="20% - 강조색5 4" xfId="642" xr:uid="{00000000-0005-0000-0000-00007D020000}"/>
    <cellStyle name="20% - 강조색5 5" xfId="643" xr:uid="{00000000-0005-0000-0000-00007E020000}"/>
    <cellStyle name="20% - 강조색5 6" xfId="644" xr:uid="{00000000-0005-0000-0000-00007F020000}"/>
    <cellStyle name="20% - 강조색5 7" xfId="645" xr:uid="{00000000-0005-0000-0000-000080020000}"/>
    <cellStyle name="20% - 강조색5 8" xfId="646" xr:uid="{00000000-0005-0000-0000-000081020000}"/>
    <cellStyle name="20% - 강조색5 9" xfId="647" xr:uid="{00000000-0005-0000-0000-000082020000}"/>
    <cellStyle name="20% - 강조색6 10" xfId="648" xr:uid="{00000000-0005-0000-0000-000083020000}"/>
    <cellStyle name="20% - 강조색6 11" xfId="649" xr:uid="{00000000-0005-0000-0000-000084020000}"/>
    <cellStyle name="20% - 강조색6 12" xfId="650" xr:uid="{00000000-0005-0000-0000-000085020000}"/>
    <cellStyle name="20% - 강조색6 2" xfId="651" xr:uid="{00000000-0005-0000-0000-000086020000}"/>
    <cellStyle name="20% - 강조색6 2 2" xfId="652" xr:uid="{00000000-0005-0000-0000-000087020000}"/>
    <cellStyle name="20% - 강조색6 2 3" xfId="653" xr:uid="{00000000-0005-0000-0000-000088020000}"/>
    <cellStyle name="20% - 강조색6 2 4" xfId="654" xr:uid="{00000000-0005-0000-0000-000089020000}"/>
    <cellStyle name="20% - 강조색6 2 5" xfId="655" xr:uid="{00000000-0005-0000-0000-00008A020000}"/>
    <cellStyle name="20% - 강조색6 2 6" xfId="656" xr:uid="{00000000-0005-0000-0000-00008B020000}"/>
    <cellStyle name="20% - 강조색6 2 7" xfId="657" xr:uid="{00000000-0005-0000-0000-00008C020000}"/>
    <cellStyle name="20% - 강조색6 3" xfId="658" xr:uid="{00000000-0005-0000-0000-00008D020000}"/>
    <cellStyle name="20% - 강조색6 3 2" xfId="659" xr:uid="{00000000-0005-0000-0000-00008E020000}"/>
    <cellStyle name="20% - 강조색6 4" xfId="660" xr:uid="{00000000-0005-0000-0000-00008F020000}"/>
    <cellStyle name="20% - 강조색6 5" xfId="661" xr:uid="{00000000-0005-0000-0000-000090020000}"/>
    <cellStyle name="20% - 강조색6 6" xfId="662" xr:uid="{00000000-0005-0000-0000-000091020000}"/>
    <cellStyle name="20% - 강조색6 7" xfId="663" xr:uid="{00000000-0005-0000-0000-000092020000}"/>
    <cellStyle name="20% - 강조색6 8" xfId="664" xr:uid="{00000000-0005-0000-0000-000093020000}"/>
    <cellStyle name="20% - 강조색6 9" xfId="665" xr:uid="{00000000-0005-0000-0000-000094020000}"/>
    <cellStyle name="40% - Accent1" xfId="666" xr:uid="{00000000-0005-0000-0000-000095020000}"/>
    <cellStyle name="40% - Accent1 2" xfId="667" xr:uid="{00000000-0005-0000-0000-000096020000}"/>
    <cellStyle name="40% - Accent1 3" xfId="668" xr:uid="{00000000-0005-0000-0000-000097020000}"/>
    <cellStyle name="40% - Accent1 4" xfId="669" xr:uid="{00000000-0005-0000-0000-000098020000}"/>
    <cellStyle name="40% - Accent1 5" xfId="670" xr:uid="{00000000-0005-0000-0000-000099020000}"/>
    <cellStyle name="40% - Accent2" xfId="671" xr:uid="{00000000-0005-0000-0000-00009A020000}"/>
    <cellStyle name="40% - Accent2 2" xfId="672" xr:uid="{00000000-0005-0000-0000-00009B020000}"/>
    <cellStyle name="40% - Accent2 3" xfId="673" xr:uid="{00000000-0005-0000-0000-00009C020000}"/>
    <cellStyle name="40% - Accent2 4" xfId="674" xr:uid="{00000000-0005-0000-0000-00009D020000}"/>
    <cellStyle name="40% - Accent2 5" xfId="675" xr:uid="{00000000-0005-0000-0000-00009E020000}"/>
    <cellStyle name="40% - Accent3" xfId="676" xr:uid="{00000000-0005-0000-0000-00009F020000}"/>
    <cellStyle name="40% - Accent3 2" xfId="677" xr:uid="{00000000-0005-0000-0000-0000A0020000}"/>
    <cellStyle name="40% - Accent3 3" xfId="678" xr:uid="{00000000-0005-0000-0000-0000A1020000}"/>
    <cellStyle name="40% - Accent3 4" xfId="679" xr:uid="{00000000-0005-0000-0000-0000A2020000}"/>
    <cellStyle name="40% - Accent3 5" xfId="680" xr:uid="{00000000-0005-0000-0000-0000A3020000}"/>
    <cellStyle name="40% - Accent4" xfId="681" xr:uid="{00000000-0005-0000-0000-0000A4020000}"/>
    <cellStyle name="40% - Accent4 2" xfId="682" xr:uid="{00000000-0005-0000-0000-0000A5020000}"/>
    <cellStyle name="40% - Accent4 3" xfId="683" xr:uid="{00000000-0005-0000-0000-0000A6020000}"/>
    <cellStyle name="40% - Accent4 4" xfId="684" xr:uid="{00000000-0005-0000-0000-0000A7020000}"/>
    <cellStyle name="40% - Accent4 5" xfId="685" xr:uid="{00000000-0005-0000-0000-0000A8020000}"/>
    <cellStyle name="40% - Accent5" xfId="686" xr:uid="{00000000-0005-0000-0000-0000A9020000}"/>
    <cellStyle name="40% - Accent5 2" xfId="687" xr:uid="{00000000-0005-0000-0000-0000AA020000}"/>
    <cellStyle name="40% - Accent5 3" xfId="688" xr:uid="{00000000-0005-0000-0000-0000AB020000}"/>
    <cellStyle name="40% - Accent5 4" xfId="689" xr:uid="{00000000-0005-0000-0000-0000AC020000}"/>
    <cellStyle name="40% - Accent5 5" xfId="690" xr:uid="{00000000-0005-0000-0000-0000AD020000}"/>
    <cellStyle name="40% - Accent6" xfId="691" xr:uid="{00000000-0005-0000-0000-0000AE020000}"/>
    <cellStyle name="40% - Accent6 2" xfId="692" xr:uid="{00000000-0005-0000-0000-0000AF020000}"/>
    <cellStyle name="40% - Accent6 3" xfId="693" xr:uid="{00000000-0005-0000-0000-0000B0020000}"/>
    <cellStyle name="40% - Accent6 4" xfId="694" xr:uid="{00000000-0005-0000-0000-0000B1020000}"/>
    <cellStyle name="40% - Accent6 5" xfId="695" xr:uid="{00000000-0005-0000-0000-0000B2020000}"/>
    <cellStyle name="40% - 강조색1 10" xfId="696" xr:uid="{00000000-0005-0000-0000-0000B3020000}"/>
    <cellStyle name="40% - 강조색1 11" xfId="697" xr:uid="{00000000-0005-0000-0000-0000B4020000}"/>
    <cellStyle name="40% - 강조색1 12" xfId="698" xr:uid="{00000000-0005-0000-0000-0000B5020000}"/>
    <cellStyle name="40% - 강조색1 2" xfId="699" xr:uid="{00000000-0005-0000-0000-0000B6020000}"/>
    <cellStyle name="40% - 강조색1 2 2" xfId="700" xr:uid="{00000000-0005-0000-0000-0000B7020000}"/>
    <cellStyle name="40% - 강조색1 2 3" xfId="701" xr:uid="{00000000-0005-0000-0000-0000B8020000}"/>
    <cellStyle name="40% - 강조색1 2 4" xfId="702" xr:uid="{00000000-0005-0000-0000-0000B9020000}"/>
    <cellStyle name="40% - 강조색1 2 5" xfId="703" xr:uid="{00000000-0005-0000-0000-0000BA020000}"/>
    <cellStyle name="40% - 강조색1 2 6" xfId="704" xr:uid="{00000000-0005-0000-0000-0000BB020000}"/>
    <cellStyle name="40% - 강조색1 2 7" xfId="705" xr:uid="{00000000-0005-0000-0000-0000BC020000}"/>
    <cellStyle name="40% - 강조색1 3" xfId="706" xr:uid="{00000000-0005-0000-0000-0000BD020000}"/>
    <cellStyle name="40% - 강조색1 3 2" xfId="707" xr:uid="{00000000-0005-0000-0000-0000BE020000}"/>
    <cellStyle name="40% - 강조색1 4" xfId="708" xr:uid="{00000000-0005-0000-0000-0000BF020000}"/>
    <cellStyle name="40% - 강조색1 5" xfId="709" xr:uid="{00000000-0005-0000-0000-0000C0020000}"/>
    <cellStyle name="40% - 강조색1 6" xfId="710" xr:uid="{00000000-0005-0000-0000-0000C1020000}"/>
    <cellStyle name="40% - 강조색1 7" xfId="711" xr:uid="{00000000-0005-0000-0000-0000C2020000}"/>
    <cellStyle name="40% - 강조색1 8" xfId="712" xr:uid="{00000000-0005-0000-0000-0000C3020000}"/>
    <cellStyle name="40% - 강조색1 9" xfId="713" xr:uid="{00000000-0005-0000-0000-0000C4020000}"/>
    <cellStyle name="40% - 강조색2 10" xfId="714" xr:uid="{00000000-0005-0000-0000-0000C5020000}"/>
    <cellStyle name="40% - 강조색2 11" xfId="715" xr:uid="{00000000-0005-0000-0000-0000C6020000}"/>
    <cellStyle name="40% - 강조색2 12" xfId="716" xr:uid="{00000000-0005-0000-0000-0000C7020000}"/>
    <cellStyle name="40% - 강조색2 2" xfId="717" xr:uid="{00000000-0005-0000-0000-0000C8020000}"/>
    <cellStyle name="40% - 강조색2 2 2" xfId="718" xr:uid="{00000000-0005-0000-0000-0000C9020000}"/>
    <cellStyle name="40% - 강조색2 2 3" xfId="719" xr:uid="{00000000-0005-0000-0000-0000CA020000}"/>
    <cellStyle name="40% - 강조색2 2 4" xfId="720" xr:uid="{00000000-0005-0000-0000-0000CB020000}"/>
    <cellStyle name="40% - 강조색2 2 5" xfId="721" xr:uid="{00000000-0005-0000-0000-0000CC020000}"/>
    <cellStyle name="40% - 강조색2 2 6" xfId="722" xr:uid="{00000000-0005-0000-0000-0000CD020000}"/>
    <cellStyle name="40% - 강조색2 2 7" xfId="723" xr:uid="{00000000-0005-0000-0000-0000CE020000}"/>
    <cellStyle name="40% - 강조색2 3" xfId="724" xr:uid="{00000000-0005-0000-0000-0000CF020000}"/>
    <cellStyle name="40% - 강조색2 3 2" xfId="725" xr:uid="{00000000-0005-0000-0000-0000D0020000}"/>
    <cellStyle name="40% - 강조색2 4" xfId="726" xr:uid="{00000000-0005-0000-0000-0000D1020000}"/>
    <cellStyle name="40% - 강조색2 5" xfId="727" xr:uid="{00000000-0005-0000-0000-0000D2020000}"/>
    <cellStyle name="40% - 강조색2 6" xfId="728" xr:uid="{00000000-0005-0000-0000-0000D3020000}"/>
    <cellStyle name="40% - 강조색2 7" xfId="729" xr:uid="{00000000-0005-0000-0000-0000D4020000}"/>
    <cellStyle name="40% - 강조색2 8" xfId="730" xr:uid="{00000000-0005-0000-0000-0000D5020000}"/>
    <cellStyle name="40% - 강조색2 9" xfId="731" xr:uid="{00000000-0005-0000-0000-0000D6020000}"/>
    <cellStyle name="40% - 강조색3 10" xfId="732" xr:uid="{00000000-0005-0000-0000-0000D7020000}"/>
    <cellStyle name="40% - 강조색3 11" xfId="733" xr:uid="{00000000-0005-0000-0000-0000D8020000}"/>
    <cellStyle name="40% - 강조색3 12" xfId="734" xr:uid="{00000000-0005-0000-0000-0000D9020000}"/>
    <cellStyle name="40% - 강조색3 2" xfId="735" xr:uid="{00000000-0005-0000-0000-0000DA020000}"/>
    <cellStyle name="40% - 강조색3 2 2" xfId="736" xr:uid="{00000000-0005-0000-0000-0000DB020000}"/>
    <cellStyle name="40% - 강조색3 2 3" xfId="737" xr:uid="{00000000-0005-0000-0000-0000DC020000}"/>
    <cellStyle name="40% - 강조색3 2 4" xfId="738" xr:uid="{00000000-0005-0000-0000-0000DD020000}"/>
    <cellStyle name="40% - 강조색3 2 5" xfId="739" xr:uid="{00000000-0005-0000-0000-0000DE020000}"/>
    <cellStyle name="40% - 강조색3 2 6" xfId="740" xr:uid="{00000000-0005-0000-0000-0000DF020000}"/>
    <cellStyle name="40% - 강조색3 2 7" xfId="741" xr:uid="{00000000-0005-0000-0000-0000E0020000}"/>
    <cellStyle name="40% - 강조색3 3" xfId="742" xr:uid="{00000000-0005-0000-0000-0000E1020000}"/>
    <cellStyle name="40% - 강조색3 3 2" xfId="743" xr:uid="{00000000-0005-0000-0000-0000E2020000}"/>
    <cellStyle name="40% - 강조색3 4" xfId="744" xr:uid="{00000000-0005-0000-0000-0000E3020000}"/>
    <cellStyle name="40% - 강조색3 5" xfId="745" xr:uid="{00000000-0005-0000-0000-0000E4020000}"/>
    <cellStyle name="40% - 강조색3 6" xfId="746" xr:uid="{00000000-0005-0000-0000-0000E5020000}"/>
    <cellStyle name="40% - 강조색3 7" xfId="747" xr:uid="{00000000-0005-0000-0000-0000E6020000}"/>
    <cellStyle name="40% - 강조색3 8" xfId="748" xr:uid="{00000000-0005-0000-0000-0000E7020000}"/>
    <cellStyle name="40% - 강조색3 9" xfId="749" xr:uid="{00000000-0005-0000-0000-0000E8020000}"/>
    <cellStyle name="40% - 강조색4 10" xfId="750" xr:uid="{00000000-0005-0000-0000-0000E9020000}"/>
    <cellStyle name="40% - 강조색4 11" xfId="751" xr:uid="{00000000-0005-0000-0000-0000EA020000}"/>
    <cellStyle name="40% - 강조색4 12" xfId="752" xr:uid="{00000000-0005-0000-0000-0000EB020000}"/>
    <cellStyle name="40% - 강조색4 2" xfId="753" xr:uid="{00000000-0005-0000-0000-0000EC020000}"/>
    <cellStyle name="40% - 강조색4 2 2" xfId="754" xr:uid="{00000000-0005-0000-0000-0000ED020000}"/>
    <cellStyle name="40% - 강조색4 2 3" xfId="755" xr:uid="{00000000-0005-0000-0000-0000EE020000}"/>
    <cellStyle name="40% - 강조색4 2 4" xfId="756" xr:uid="{00000000-0005-0000-0000-0000EF020000}"/>
    <cellStyle name="40% - 강조색4 2 5" xfId="757" xr:uid="{00000000-0005-0000-0000-0000F0020000}"/>
    <cellStyle name="40% - 강조색4 2 6" xfId="758" xr:uid="{00000000-0005-0000-0000-0000F1020000}"/>
    <cellStyle name="40% - 강조색4 2 7" xfId="759" xr:uid="{00000000-0005-0000-0000-0000F2020000}"/>
    <cellStyle name="40% - 강조색4 3" xfId="760" xr:uid="{00000000-0005-0000-0000-0000F3020000}"/>
    <cellStyle name="40% - 강조색4 3 2" xfId="761" xr:uid="{00000000-0005-0000-0000-0000F4020000}"/>
    <cellStyle name="40% - 강조색4 4" xfId="762" xr:uid="{00000000-0005-0000-0000-0000F5020000}"/>
    <cellStyle name="40% - 강조색4 5" xfId="763" xr:uid="{00000000-0005-0000-0000-0000F6020000}"/>
    <cellStyle name="40% - 강조색4 6" xfId="764" xr:uid="{00000000-0005-0000-0000-0000F7020000}"/>
    <cellStyle name="40% - 강조색4 7" xfId="765" xr:uid="{00000000-0005-0000-0000-0000F8020000}"/>
    <cellStyle name="40% - 강조색4 8" xfId="766" xr:uid="{00000000-0005-0000-0000-0000F9020000}"/>
    <cellStyle name="40% - 강조색4 9" xfId="767" xr:uid="{00000000-0005-0000-0000-0000FA020000}"/>
    <cellStyle name="40% - 강조색5 10" xfId="768" xr:uid="{00000000-0005-0000-0000-0000FB020000}"/>
    <cellStyle name="40% - 강조색5 11" xfId="769" xr:uid="{00000000-0005-0000-0000-0000FC020000}"/>
    <cellStyle name="40% - 강조색5 12" xfId="770" xr:uid="{00000000-0005-0000-0000-0000FD020000}"/>
    <cellStyle name="40% - 강조색5 2" xfId="771" xr:uid="{00000000-0005-0000-0000-0000FE020000}"/>
    <cellStyle name="40% - 강조색5 2 2" xfId="772" xr:uid="{00000000-0005-0000-0000-0000FF020000}"/>
    <cellStyle name="40% - 강조색5 2 3" xfId="773" xr:uid="{00000000-0005-0000-0000-000000030000}"/>
    <cellStyle name="40% - 강조색5 2 4" xfId="774" xr:uid="{00000000-0005-0000-0000-000001030000}"/>
    <cellStyle name="40% - 강조색5 2 5" xfId="775" xr:uid="{00000000-0005-0000-0000-000002030000}"/>
    <cellStyle name="40% - 강조색5 2 6" xfId="776" xr:uid="{00000000-0005-0000-0000-000003030000}"/>
    <cellStyle name="40% - 강조색5 2 7" xfId="777" xr:uid="{00000000-0005-0000-0000-000004030000}"/>
    <cellStyle name="40% - 강조색5 3" xfId="778" xr:uid="{00000000-0005-0000-0000-000005030000}"/>
    <cellStyle name="40% - 강조색5 3 2" xfId="779" xr:uid="{00000000-0005-0000-0000-000006030000}"/>
    <cellStyle name="40% - 강조색5 4" xfId="780" xr:uid="{00000000-0005-0000-0000-000007030000}"/>
    <cellStyle name="40% - 강조색5 5" xfId="781" xr:uid="{00000000-0005-0000-0000-000008030000}"/>
    <cellStyle name="40% - 강조색5 6" xfId="782" xr:uid="{00000000-0005-0000-0000-000009030000}"/>
    <cellStyle name="40% - 강조색5 7" xfId="783" xr:uid="{00000000-0005-0000-0000-00000A030000}"/>
    <cellStyle name="40% - 강조색5 8" xfId="784" xr:uid="{00000000-0005-0000-0000-00000B030000}"/>
    <cellStyle name="40% - 강조색5 9" xfId="785" xr:uid="{00000000-0005-0000-0000-00000C030000}"/>
    <cellStyle name="40% - 강조색6 10" xfId="786" xr:uid="{00000000-0005-0000-0000-00000D030000}"/>
    <cellStyle name="40% - 강조색6 11" xfId="787" xr:uid="{00000000-0005-0000-0000-00000E030000}"/>
    <cellStyle name="40% - 강조색6 12" xfId="788" xr:uid="{00000000-0005-0000-0000-00000F030000}"/>
    <cellStyle name="40% - 강조색6 2" xfId="789" xr:uid="{00000000-0005-0000-0000-000010030000}"/>
    <cellStyle name="40% - 강조색6 2 2" xfId="790" xr:uid="{00000000-0005-0000-0000-000011030000}"/>
    <cellStyle name="40% - 강조색6 2 3" xfId="791" xr:uid="{00000000-0005-0000-0000-000012030000}"/>
    <cellStyle name="40% - 강조색6 2 4" xfId="792" xr:uid="{00000000-0005-0000-0000-000013030000}"/>
    <cellStyle name="40% - 강조색6 2 5" xfId="793" xr:uid="{00000000-0005-0000-0000-000014030000}"/>
    <cellStyle name="40% - 강조색6 2 6" xfId="794" xr:uid="{00000000-0005-0000-0000-000015030000}"/>
    <cellStyle name="40% - 강조색6 2 7" xfId="795" xr:uid="{00000000-0005-0000-0000-000016030000}"/>
    <cellStyle name="40% - 강조색6 3" xfId="796" xr:uid="{00000000-0005-0000-0000-000017030000}"/>
    <cellStyle name="40% - 강조색6 3 2" xfId="797" xr:uid="{00000000-0005-0000-0000-000018030000}"/>
    <cellStyle name="40% - 강조색6 4" xfId="798" xr:uid="{00000000-0005-0000-0000-000019030000}"/>
    <cellStyle name="40% - 강조색6 5" xfId="799" xr:uid="{00000000-0005-0000-0000-00001A030000}"/>
    <cellStyle name="40% - 강조색6 6" xfId="800" xr:uid="{00000000-0005-0000-0000-00001B030000}"/>
    <cellStyle name="40% - 강조색6 7" xfId="801" xr:uid="{00000000-0005-0000-0000-00001C030000}"/>
    <cellStyle name="40% - 강조색6 8" xfId="802" xr:uid="{00000000-0005-0000-0000-00001D030000}"/>
    <cellStyle name="40% - 강조색6 9" xfId="803" xr:uid="{00000000-0005-0000-0000-00001E030000}"/>
    <cellStyle name="60% - Accent1" xfId="804" xr:uid="{00000000-0005-0000-0000-00001F030000}"/>
    <cellStyle name="60% - Accent1 2" xfId="805" xr:uid="{00000000-0005-0000-0000-000020030000}"/>
    <cellStyle name="60% - Accent1 3" xfId="806" xr:uid="{00000000-0005-0000-0000-000021030000}"/>
    <cellStyle name="60% - Accent1 4" xfId="807" xr:uid="{00000000-0005-0000-0000-000022030000}"/>
    <cellStyle name="60% - Accent1 5" xfId="808" xr:uid="{00000000-0005-0000-0000-000023030000}"/>
    <cellStyle name="60% - Accent2" xfId="809" xr:uid="{00000000-0005-0000-0000-000024030000}"/>
    <cellStyle name="60% - Accent2 2" xfId="810" xr:uid="{00000000-0005-0000-0000-000025030000}"/>
    <cellStyle name="60% - Accent2 3" xfId="811" xr:uid="{00000000-0005-0000-0000-000026030000}"/>
    <cellStyle name="60% - Accent2 4" xfId="812" xr:uid="{00000000-0005-0000-0000-000027030000}"/>
    <cellStyle name="60% - Accent2 5" xfId="813" xr:uid="{00000000-0005-0000-0000-000028030000}"/>
    <cellStyle name="60% - Accent3" xfId="814" xr:uid="{00000000-0005-0000-0000-000029030000}"/>
    <cellStyle name="60% - Accent3 2" xfId="815" xr:uid="{00000000-0005-0000-0000-00002A030000}"/>
    <cellStyle name="60% - Accent3 3" xfId="816" xr:uid="{00000000-0005-0000-0000-00002B030000}"/>
    <cellStyle name="60% - Accent3 4" xfId="817" xr:uid="{00000000-0005-0000-0000-00002C030000}"/>
    <cellStyle name="60% - Accent3 5" xfId="818" xr:uid="{00000000-0005-0000-0000-00002D030000}"/>
    <cellStyle name="60% - Accent4" xfId="819" xr:uid="{00000000-0005-0000-0000-00002E030000}"/>
    <cellStyle name="60% - Accent4 2" xfId="820" xr:uid="{00000000-0005-0000-0000-00002F030000}"/>
    <cellStyle name="60% - Accent4 3" xfId="821" xr:uid="{00000000-0005-0000-0000-000030030000}"/>
    <cellStyle name="60% - Accent4 4" xfId="822" xr:uid="{00000000-0005-0000-0000-000031030000}"/>
    <cellStyle name="60% - Accent4 5" xfId="823" xr:uid="{00000000-0005-0000-0000-000032030000}"/>
    <cellStyle name="60% - Accent5" xfId="824" xr:uid="{00000000-0005-0000-0000-000033030000}"/>
    <cellStyle name="60% - Accent5 2" xfId="825" xr:uid="{00000000-0005-0000-0000-000034030000}"/>
    <cellStyle name="60% - Accent5 3" xfId="826" xr:uid="{00000000-0005-0000-0000-000035030000}"/>
    <cellStyle name="60% - Accent5 4" xfId="827" xr:uid="{00000000-0005-0000-0000-000036030000}"/>
    <cellStyle name="60% - Accent5 5" xfId="828" xr:uid="{00000000-0005-0000-0000-000037030000}"/>
    <cellStyle name="60% - Accent6" xfId="829" xr:uid="{00000000-0005-0000-0000-000038030000}"/>
    <cellStyle name="60% - Accent6 2" xfId="830" xr:uid="{00000000-0005-0000-0000-000039030000}"/>
    <cellStyle name="60% - Accent6 3" xfId="831" xr:uid="{00000000-0005-0000-0000-00003A030000}"/>
    <cellStyle name="60% - Accent6 4" xfId="832" xr:uid="{00000000-0005-0000-0000-00003B030000}"/>
    <cellStyle name="60% - Accent6 5" xfId="833" xr:uid="{00000000-0005-0000-0000-00003C030000}"/>
    <cellStyle name="60% - 강조색1 10" xfId="834" xr:uid="{00000000-0005-0000-0000-00003D030000}"/>
    <cellStyle name="60% - 강조색1 11" xfId="835" xr:uid="{00000000-0005-0000-0000-00003E030000}"/>
    <cellStyle name="60% - 강조색1 12" xfId="836" xr:uid="{00000000-0005-0000-0000-00003F030000}"/>
    <cellStyle name="60% - 강조색1 2" xfId="837" xr:uid="{00000000-0005-0000-0000-000040030000}"/>
    <cellStyle name="60% - 강조색1 2 2" xfId="838" xr:uid="{00000000-0005-0000-0000-000041030000}"/>
    <cellStyle name="60% - 강조색1 2 3" xfId="839" xr:uid="{00000000-0005-0000-0000-000042030000}"/>
    <cellStyle name="60% - 강조색1 2 4" xfId="840" xr:uid="{00000000-0005-0000-0000-000043030000}"/>
    <cellStyle name="60% - 강조색1 2 5" xfId="841" xr:uid="{00000000-0005-0000-0000-000044030000}"/>
    <cellStyle name="60% - 강조색1 2 6" xfId="842" xr:uid="{00000000-0005-0000-0000-000045030000}"/>
    <cellStyle name="60% - 강조색1 2 7" xfId="843" xr:uid="{00000000-0005-0000-0000-000046030000}"/>
    <cellStyle name="60% - 강조색1 3" xfId="844" xr:uid="{00000000-0005-0000-0000-000047030000}"/>
    <cellStyle name="60% - 강조색1 3 2" xfId="845" xr:uid="{00000000-0005-0000-0000-000048030000}"/>
    <cellStyle name="60% - 강조색1 4" xfId="846" xr:uid="{00000000-0005-0000-0000-000049030000}"/>
    <cellStyle name="60% - 강조색1 5" xfId="847" xr:uid="{00000000-0005-0000-0000-00004A030000}"/>
    <cellStyle name="60% - 강조색1 6" xfId="848" xr:uid="{00000000-0005-0000-0000-00004B030000}"/>
    <cellStyle name="60% - 강조색1 7" xfId="849" xr:uid="{00000000-0005-0000-0000-00004C030000}"/>
    <cellStyle name="60% - 강조색1 8" xfId="850" xr:uid="{00000000-0005-0000-0000-00004D030000}"/>
    <cellStyle name="60% - 강조색1 9" xfId="851" xr:uid="{00000000-0005-0000-0000-00004E030000}"/>
    <cellStyle name="60% - 강조색2 10" xfId="852" xr:uid="{00000000-0005-0000-0000-00004F030000}"/>
    <cellStyle name="60% - 강조색2 11" xfId="853" xr:uid="{00000000-0005-0000-0000-000050030000}"/>
    <cellStyle name="60% - 강조색2 12" xfId="854" xr:uid="{00000000-0005-0000-0000-000051030000}"/>
    <cellStyle name="60% - 강조색2 2" xfId="855" xr:uid="{00000000-0005-0000-0000-000052030000}"/>
    <cellStyle name="60% - 강조색2 2 2" xfId="856" xr:uid="{00000000-0005-0000-0000-000053030000}"/>
    <cellStyle name="60% - 강조색2 2 3" xfId="857" xr:uid="{00000000-0005-0000-0000-000054030000}"/>
    <cellStyle name="60% - 강조색2 2 4" xfId="858" xr:uid="{00000000-0005-0000-0000-000055030000}"/>
    <cellStyle name="60% - 강조색2 2 5" xfId="859" xr:uid="{00000000-0005-0000-0000-000056030000}"/>
    <cellStyle name="60% - 강조색2 2 6" xfId="860" xr:uid="{00000000-0005-0000-0000-000057030000}"/>
    <cellStyle name="60% - 강조색2 2 7" xfId="861" xr:uid="{00000000-0005-0000-0000-000058030000}"/>
    <cellStyle name="60% - 강조색2 3" xfId="862" xr:uid="{00000000-0005-0000-0000-000059030000}"/>
    <cellStyle name="60% - 강조색2 3 2" xfId="863" xr:uid="{00000000-0005-0000-0000-00005A030000}"/>
    <cellStyle name="60% - 강조색2 4" xfId="864" xr:uid="{00000000-0005-0000-0000-00005B030000}"/>
    <cellStyle name="60% - 강조색2 5" xfId="865" xr:uid="{00000000-0005-0000-0000-00005C030000}"/>
    <cellStyle name="60% - 강조색2 6" xfId="866" xr:uid="{00000000-0005-0000-0000-00005D030000}"/>
    <cellStyle name="60% - 강조색2 7" xfId="867" xr:uid="{00000000-0005-0000-0000-00005E030000}"/>
    <cellStyle name="60% - 강조색2 8" xfId="868" xr:uid="{00000000-0005-0000-0000-00005F030000}"/>
    <cellStyle name="60% - 강조색2 9" xfId="869" xr:uid="{00000000-0005-0000-0000-000060030000}"/>
    <cellStyle name="60% - 강조색3 10" xfId="870" xr:uid="{00000000-0005-0000-0000-000061030000}"/>
    <cellStyle name="60% - 강조색3 11" xfId="871" xr:uid="{00000000-0005-0000-0000-000062030000}"/>
    <cellStyle name="60% - 강조색3 12" xfId="872" xr:uid="{00000000-0005-0000-0000-000063030000}"/>
    <cellStyle name="60% - 강조색3 2" xfId="873" xr:uid="{00000000-0005-0000-0000-000064030000}"/>
    <cellStyle name="60% - 강조색3 2 2" xfId="874" xr:uid="{00000000-0005-0000-0000-000065030000}"/>
    <cellStyle name="60% - 강조색3 2 3" xfId="875" xr:uid="{00000000-0005-0000-0000-000066030000}"/>
    <cellStyle name="60% - 강조색3 2 4" xfId="876" xr:uid="{00000000-0005-0000-0000-000067030000}"/>
    <cellStyle name="60% - 강조색3 2 5" xfId="877" xr:uid="{00000000-0005-0000-0000-000068030000}"/>
    <cellStyle name="60% - 강조색3 2 6" xfId="878" xr:uid="{00000000-0005-0000-0000-000069030000}"/>
    <cellStyle name="60% - 강조색3 2 7" xfId="879" xr:uid="{00000000-0005-0000-0000-00006A030000}"/>
    <cellStyle name="60% - 강조색3 3" xfId="880" xr:uid="{00000000-0005-0000-0000-00006B030000}"/>
    <cellStyle name="60% - 강조색3 3 2" xfId="881" xr:uid="{00000000-0005-0000-0000-00006C030000}"/>
    <cellStyle name="60% - 강조색3 4" xfId="882" xr:uid="{00000000-0005-0000-0000-00006D030000}"/>
    <cellStyle name="60% - 강조색3 5" xfId="883" xr:uid="{00000000-0005-0000-0000-00006E030000}"/>
    <cellStyle name="60% - 강조색3 6" xfId="884" xr:uid="{00000000-0005-0000-0000-00006F030000}"/>
    <cellStyle name="60% - 강조색3 7" xfId="885" xr:uid="{00000000-0005-0000-0000-000070030000}"/>
    <cellStyle name="60% - 강조색3 8" xfId="886" xr:uid="{00000000-0005-0000-0000-000071030000}"/>
    <cellStyle name="60% - 강조색3 9" xfId="887" xr:uid="{00000000-0005-0000-0000-000072030000}"/>
    <cellStyle name="60% - 강조색4 10" xfId="888" xr:uid="{00000000-0005-0000-0000-000073030000}"/>
    <cellStyle name="60% - 강조색4 11" xfId="889" xr:uid="{00000000-0005-0000-0000-000074030000}"/>
    <cellStyle name="60% - 강조색4 12" xfId="890" xr:uid="{00000000-0005-0000-0000-000075030000}"/>
    <cellStyle name="60% - 강조색4 2" xfId="891" xr:uid="{00000000-0005-0000-0000-000076030000}"/>
    <cellStyle name="60% - 강조색4 2 2" xfId="892" xr:uid="{00000000-0005-0000-0000-000077030000}"/>
    <cellStyle name="60% - 강조색4 2 3" xfId="893" xr:uid="{00000000-0005-0000-0000-000078030000}"/>
    <cellStyle name="60% - 강조색4 2 4" xfId="894" xr:uid="{00000000-0005-0000-0000-000079030000}"/>
    <cellStyle name="60% - 강조색4 2 5" xfId="895" xr:uid="{00000000-0005-0000-0000-00007A030000}"/>
    <cellStyle name="60% - 강조색4 2 6" xfId="896" xr:uid="{00000000-0005-0000-0000-00007B030000}"/>
    <cellStyle name="60% - 강조색4 2 7" xfId="897" xr:uid="{00000000-0005-0000-0000-00007C030000}"/>
    <cellStyle name="60% - 강조색4 3" xfId="898" xr:uid="{00000000-0005-0000-0000-00007D030000}"/>
    <cellStyle name="60% - 강조색4 3 2" xfId="899" xr:uid="{00000000-0005-0000-0000-00007E030000}"/>
    <cellStyle name="60% - 강조색4 4" xfId="900" xr:uid="{00000000-0005-0000-0000-00007F030000}"/>
    <cellStyle name="60% - 강조색4 5" xfId="901" xr:uid="{00000000-0005-0000-0000-000080030000}"/>
    <cellStyle name="60% - 강조색4 6" xfId="902" xr:uid="{00000000-0005-0000-0000-000081030000}"/>
    <cellStyle name="60% - 강조색4 7" xfId="903" xr:uid="{00000000-0005-0000-0000-000082030000}"/>
    <cellStyle name="60% - 강조색4 8" xfId="904" xr:uid="{00000000-0005-0000-0000-000083030000}"/>
    <cellStyle name="60% - 강조색4 9" xfId="905" xr:uid="{00000000-0005-0000-0000-000084030000}"/>
    <cellStyle name="60% - 강조색5 10" xfId="906" xr:uid="{00000000-0005-0000-0000-000085030000}"/>
    <cellStyle name="60% - 강조색5 11" xfId="907" xr:uid="{00000000-0005-0000-0000-000086030000}"/>
    <cellStyle name="60% - 강조색5 12" xfId="908" xr:uid="{00000000-0005-0000-0000-000087030000}"/>
    <cellStyle name="60% - 강조색5 2" xfId="909" xr:uid="{00000000-0005-0000-0000-000088030000}"/>
    <cellStyle name="60% - 강조색5 2 2" xfId="910" xr:uid="{00000000-0005-0000-0000-000089030000}"/>
    <cellStyle name="60% - 강조색5 2 3" xfId="911" xr:uid="{00000000-0005-0000-0000-00008A030000}"/>
    <cellStyle name="60% - 강조색5 2 4" xfId="912" xr:uid="{00000000-0005-0000-0000-00008B030000}"/>
    <cellStyle name="60% - 강조색5 2 5" xfId="913" xr:uid="{00000000-0005-0000-0000-00008C030000}"/>
    <cellStyle name="60% - 강조색5 2 6" xfId="914" xr:uid="{00000000-0005-0000-0000-00008D030000}"/>
    <cellStyle name="60% - 강조색5 2 7" xfId="915" xr:uid="{00000000-0005-0000-0000-00008E030000}"/>
    <cellStyle name="60% - 강조색5 3" xfId="916" xr:uid="{00000000-0005-0000-0000-00008F030000}"/>
    <cellStyle name="60% - 강조색5 3 2" xfId="917" xr:uid="{00000000-0005-0000-0000-000090030000}"/>
    <cellStyle name="60% - 강조색5 4" xfId="918" xr:uid="{00000000-0005-0000-0000-000091030000}"/>
    <cellStyle name="60% - 강조색5 5" xfId="919" xr:uid="{00000000-0005-0000-0000-000092030000}"/>
    <cellStyle name="60% - 강조색5 6" xfId="920" xr:uid="{00000000-0005-0000-0000-000093030000}"/>
    <cellStyle name="60% - 강조색5 7" xfId="921" xr:uid="{00000000-0005-0000-0000-000094030000}"/>
    <cellStyle name="60% - 강조색5 8" xfId="922" xr:uid="{00000000-0005-0000-0000-000095030000}"/>
    <cellStyle name="60% - 강조색5 9" xfId="923" xr:uid="{00000000-0005-0000-0000-000096030000}"/>
    <cellStyle name="60% - 강조색6 10" xfId="924" xr:uid="{00000000-0005-0000-0000-000097030000}"/>
    <cellStyle name="60% - 강조색6 11" xfId="925" xr:uid="{00000000-0005-0000-0000-000098030000}"/>
    <cellStyle name="60% - 강조색6 12" xfId="926" xr:uid="{00000000-0005-0000-0000-000099030000}"/>
    <cellStyle name="60% - 강조색6 2" xfId="927" xr:uid="{00000000-0005-0000-0000-00009A030000}"/>
    <cellStyle name="60% - 강조색6 2 2" xfId="928" xr:uid="{00000000-0005-0000-0000-00009B030000}"/>
    <cellStyle name="60% - 강조색6 2 3" xfId="929" xr:uid="{00000000-0005-0000-0000-00009C030000}"/>
    <cellStyle name="60% - 강조색6 2 4" xfId="930" xr:uid="{00000000-0005-0000-0000-00009D030000}"/>
    <cellStyle name="60% - 강조색6 2 5" xfId="931" xr:uid="{00000000-0005-0000-0000-00009E030000}"/>
    <cellStyle name="60% - 강조색6 2 6" xfId="932" xr:uid="{00000000-0005-0000-0000-00009F030000}"/>
    <cellStyle name="60% - 강조색6 2 7" xfId="933" xr:uid="{00000000-0005-0000-0000-0000A0030000}"/>
    <cellStyle name="60% - 강조색6 3" xfId="934" xr:uid="{00000000-0005-0000-0000-0000A1030000}"/>
    <cellStyle name="60% - 강조색6 3 2" xfId="935" xr:uid="{00000000-0005-0000-0000-0000A2030000}"/>
    <cellStyle name="60% - 강조색6 4" xfId="936" xr:uid="{00000000-0005-0000-0000-0000A3030000}"/>
    <cellStyle name="60% - 강조색6 5" xfId="937" xr:uid="{00000000-0005-0000-0000-0000A4030000}"/>
    <cellStyle name="60% - 강조색6 6" xfId="938" xr:uid="{00000000-0005-0000-0000-0000A5030000}"/>
    <cellStyle name="60% - 강조색6 7" xfId="939" xr:uid="{00000000-0005-0000-0000-0000A6030000}"/>
    <cellStyle name="60% - 강조색6 8" xfId="940" xr:uid="{00000000-0005-0000-0000-0000A7030000}"/>
    <cellStyle name="60% - 강조색6 9" xfId="941" xr:uid="{00000000-0005-0000-0000-0000A8030000}"/>
    <cellStyle name="Accent1" xfId="942" xr:uid="{00000000-0005-0000-0000-0000A9030000}"/>
    <cellStyle name="Accent1 2" xfId="943" xr:uid="{00000000-0005-0000-0000-0000AA030000}"/>
    <cellStyle name="Accent1 3" xfId="944" xr:uid="{00000000-0005-0000-0000-0000AB030000}"/>
    <cellStyle name="Accent1 4" xfId="945" xr:uid="{00000000-0005-0000-0000-0000AC030000}"/>
    <cellStyle name="Accent1 5" xfId="946" xr:uid="{00000000-0005-0000-0000-0000AD030000}"/>
    <cellStyle name="Accent2" xfId="947" xr:uid="{00000000-0005-0000-0000-0000AE030000}"/>
    <cellStyle name="Accent2 2" xfId="948" xr:uid="{00000000-0005-0000-0000-0000AF030000}"/>
    <cellStyle name="Accent2 3" xfId="949" xr:uid="{00000000-0005-0000-0000-0000B0030000}"/>
    <cellStyle name="Accent2 4" xfId="950" xr:uid="{00000000-0005-0000-0000-0000B1030000}"/>
    <cellStyle name="Accent2 5" xfId="951" xr:uid="{00000000-0005-0000-0000-0000B2030000}"/>
    <cellStyle name="Accent3" xfId="952" xr:uid="{00000000-0005-0000-0000-0000B3030000}"/>
    <cellStyle name="Accent3 2" xfId="953" xr:uid="{00000000-0005-0000-0000-0000B4030000}"/>
    <cellStyle name="Accent3 3" xfId="954" xr:uid="{00000000-0005-0000-0000-0000B5030000}"/>
    <cellStyle name="Accent3 4" xfId="955" xr:uid="{00000000-0005-0000-0000-0000B6030000}"/>
    <cellStyle name="Accent3 5" xfId="956" xr:uid="{00000000-0005-0000-0000-0000B7030000}"/>
    <cellStyle name="Accent4" xfId="957" xr:uid="{00000000-0005-0000-0000-0000B8030000}"/>
    <cellStyle name="Accent4 2" xfId="958" xr:uid="{00000000-0005-0000-0000-0000B9030000}"/>
    <cellStyle name="Accent4 3" xfId="959" xr:uid="{00000000-0005-0000-0000-0000BA030000}"/>
    <cellStyle name="Accent4 4" xfId="960" xr:uid="{00000000-0005-0000-0000-0000BB030000}"/>
    <cellStyle name="Accent4 5" xfId="961" xr:uid="{00000000-0005-0000-0000-0000BC030000}"/>
    <cellStyle name="Accent5" xfId="962" xr:uid="{00000000-0005-0000-0000-0000BD030000}"/>
    <cellStyle name="Accent5 2" xfId="963" xr:uid="{00000000-0005-0000-0000-0000BE030000}"/>
    <cellStyle name="Accent5 3" xfId="964" xr:uid="{00000000-0005-0000-0000-0000BF030000}"/>
    <cellStyle name="Accent5 4" xfId="965" xr:uid="{00000000-0005-0000-0000-0000C0030000}"/>
    <cellStyle name="Accent5 5" xfId="966" xr:uid="{00000000-0005-0000-0000-0000C1030000}"/>
    <cellStyle name="Accent6" xfId="967" xr:uid="{00000000-0005-0000-0000-0000C2030000}"/>
    <cellStyle name="Accent6 2" xfId="968" xr:uid="{00000000-0005-0000-0000-0000C3030000}"/>
    <cellStyle name="Accent6 3" xfId="969" xr:uid="{00000000-0005-0000-0000-0000C4030000}"/>
    <cellStyle name="Accent6 4" xfId="970" xr:uid="{00000000-0005-0000-0000-0000C5030000}"/>
    <cellStyle name="Accent6 5" xfId="971" xr:uid="{00000000-0005-0000-0000-0000C6030000}"/>
    <cellStyle name="Bad" xfId="972" xr:uid="{00000000-0005-0000-0000-0000C7030000}"/>
    <cellStyle name="Bad 2" xfId="973" xr:uid="{00000000-0005-0000-0000-0000C8030000}"/>
    <cellStyle name="Bad 3" xfId="974" xr:uid="{00000000-0005-0000-0000-0000C9030000}"/>
    <cellStyle name="Bad 4" xfId="975" xr:uid="{00000000-0005-0000-0000-0000CA030000}"/>
    <cellStyle name="Bad 5" xfId="976" xr:uid="{00000000-0005-0000-0000-0000CB030000}"/>
    <cellStyle name="Calculation" xfId="977" xr:uid="{00000000-0005-0000-0000-0000CC030000}"/>
    <cellStyle name="Calculation 2" xfId="978" xr:uid="{00000000-0005-0000-0000-0000CD030000}"/>
    <cellStyle name="Calculation 3" xfId="979" xr:uid="{00000000-0005-0000-0000-0000CE030000}"/>
    <cellStyle name="Calculation 4" xfId="980" xr:uid="{00000000-0005-0000-0000-0000CF030000}"/>
    <cellStyle name="Calculation 5" xfId="981" xr:uid="{00000000-0005-0000-0000-0000D0030000}"/>
    <cellStyle name="Check Cell" xfId="982" xr:uid="{00000000-0005-0000-0000-0000D1030000}"/>
    <cellStyle name="Check Cell 2" xfId="983" xr:uid="{00000000-0005-0000-0000-0000D2030000}"/>
    <cellStyle name="Check Cell 3" xfId="984" xr:uid="{00000000-0005-0000-0000-0000D3030000}"/>
    <cellStyle name="Check Cell 4" xfId="985" xr:uid="{00000000-0005-0000-0000-0000D4030000}"/>
    <cellStyle name="Check Cell 5" xfId="986" xr:uid="{00000000-0005-0000-0000-0000D5030000}"/>
    <cellStyle name="Comma [0]_500700서버 2003년 4월 가격표1" xfId="987" xr:uid="{00000000-0005-0000-0000-0000D6030000}"/>
    <cellStyle name="Comma 2" xfId="988" xr:uid="{00000000-0005-0000-0000-0000D7030000}"/>
    <cellStyle name="Comma 2 2" xfId="1812" xr:uid="{00000000-0005-0000-0000-0000D8030000}"/>
    <cellStyle name="Comma 2 2 2" xfId="2883" xr:uid="{00000000-0005-0000-0000-0000D9030000}"/>
    <cellStyle name="Comma 2 3" xfId="1813" xr:uid="{00000000-0005-0000-0000-0000DA030000}"/>
    <cellStyle name="Comma 2 3 2" xfId="2884" xr:uid="{00000000-0005-0000-0000-0000DB030000}"/>
    <cellStyle name="Comma 2 4" xfId="1811" xr:uid="{00000000-0005-0000-0000-0000DC030000}"/>
    <cellStyle name="Comma 2 5" xfId="2882" xr:uid="{00000000-0005-0000-0000-0000DD030000}"/>
    <cellStyle name="Comma 3" xfId="1814" xr:uid="{00000000-0005-0000-0000-0000DE030000}"/>
    <cellStyle name="Comma 3 2" xfId="1815" xr:uid="{00000000-0005-0000-0000-0000DF030000}"/>
    <cellStyle name="Comma 3 2 2" xfId="2886" xr:uid="{00000000-0005-0000-0000-0000E0030000}"/>
    <cellStyle name="Comma 3 3" xfId="2885" xr:uid="{00000000-0005-0000-0000-0000E1030000}"/>
    <cellStyle name="Comma 4" xfId="1816" xr:uid="{00000000-0005-0000-0000-0000E2030000}"/>
    <cellStyle name="Comma 4 2" xfId="1817" xr:uid="{00000000-0005-0000-0000-0000E3030000}"/>
    <cellStyle name="Comma 4 2 2" xfId="2888" xr:uid="{00000000-0005-0000-0000-0000E4030000}"/>
    <cellStyle name="Comma 4 3" xfId="2887" xr:uid="{00000000-0005-0000-0000-0000E5030000}"/>
    <cellStyle name="Comma 5" xfId="1818" xr:uid="{00000000-0005-0000-0000-0000E6030000}"/>
    <cellStyle name="Comma 5 2" xfId="1819" xr:uid="{00000000-0005-0000-0000-0000E7030000}"/>
    <cellStyle name="Comma 5 2 2" xfId="2890" xr:uid="{00000000-0005-0000-0000-0000E8030000}"/>
    <cellStyle name="Comma 5 3" xfId="2889" xr:uid="{00000000-0005-0000-0000-0000E9030000}"/>
    <cellStyle name="Comma 6" xfId="1820" xr:uid="{00000000-0005-0000-0000-0000EA030000}"/>
    <cellStyle name="Comma 6 2" xfId="2891" xr:uid="{00000000-0005-0000-0000-0000EB030000}"/>
    <cellStyle name="Comma 7" xfId="1821" xr:uid="{00000000-0005-0000-0000-0000EC030000}"/>
    <cellStyle name="Comma 7 2" xfId="1822" xr:uid="{00000000-0005-0000-0000-0000ED030000}"/>
    <cellStyle name="Comma 7 2 2" xfId="2893" xr:uid="{00000000-0005-0000-0000-0000EE030000}"/>
    <cellStyle name="Comma 7 3" xfId="2892" xr:uid="{00000000-0005-0000-0000-0000EF030000}"/>
    <cellStyle name="comma zerodec" xfId="989" xr:uid="{00000000-0005-0000-0000-0000F0030000}"/>
    <cellStyle name="Comma_500700서버 2003년 4월 가격표1" xfId="990" xr:uid="{00000000-0005-0000-0000-0000F1030000}"/>
    <cellStyle name="Currency 2" xfId="991" xr:uid="{00000000-0005-0000-0000-0000F2030000}"/>
    <cellStyle name="Currency 2 2" xfId="1803" xr:uid="{00000000-0005-0000-0000-0000F3030000}"/>
    <cellStyle name="Currency 2 3" xfId="1824" xr:uid="{00000000-0005-0000-0000-0000F4030000}"/>
    <cellStyle name="Currency 2 4" xfId="1823" xr:uid="{00000000-0005-0000-0000-0000F5030000}"/>
    <cellStyle name="Currency 3" xfId="1825" xr:uid="{00000000-0005-0000-0000-0000F6030000}"/>
    <cellStyle name="Currency 3 2" xfId="1826" xr:uid="{00000000-0005-0000-0000-0000F7030000}"/>
    <cellStyle name="Currency 4" xfId="1827" xr:uid="{00000000-0005-0000-0000-0000F8030000}"/>
    <cellStyle name="Currency 4 2" xfId="1828" xr:uid="{00000000-0005-0000-0000-0000F9030000}"/>
    <cellStyle name="Currency 5" xfId="1829" xr:uid="{00000000-0005-0000-0000-0000FA030000}"/>
    <cellStyle name="Currency 5 2" xfId="1830" xr:uid="{00000000-0005-0000-0000-0000FB030000}"/>
    <cellStyle name="Currency 6" xfId="1831" xr:uid="{00000000-0005-0000-0000-0000FC030000}"/>
    <cellStyle name="Currency 7" xfId="1832" xr:uid="{00000000-0005-0000-0000-0000FD030000}"/>
    <cellStyle name="Currency 7 2" xfId="1833" xr:uid="{00000000-0005-0000-0000-0000FE030000}"/>
    <cellStyle name="Currency 8" xfId="1834" xr:uid="{00000000-0005-0000-0000-0000FF030000}"/>
    <cellStyle name="Currency_ProCurve Quick Reference Card - July 2007" xfId="992" xr:uid="{00000000-0005-0000-0000-000000040000}"/>
    <cellStyle name="Currency1" xfId="993" xr:uid="{00000000-0005-0000-0000-000001040000}"/>
    <cellStyle name="Dezimal [0]_laroux" xfId="994" xr:uid="{00000000-0005-0000-0000-000002040000}"/>
    <cellStyle name="Dezimal_laroux" xfId="995" xr:uid="{00000000-0005-0000-0000-000003040000}"/>
    <cellStyle name="Dollar (zero dec)" xfId="996" xr:uid="{00000000-0005-0000-0000-000004040000}"/>
    <cellStyle name="Explanatory Text" xfId="997" xr:uid="{00000000-0005-0000-0000-000005040000}"/>
    <cellStyle name="Explanatory Text 2" xfId="998" xr:uid="{00000000-0005-0000-0000-000006040000}"/>
    <cellStyle name="Explanatory Text 3" xfId="999" xr:uid="{00000000-0005-0000-0000-000007040000}"/>
    <cellStyle name="Explanatory Text 4" xfId="1000" xr:uid="{00000000-0005-0000-0000-000008040000}"/>
    <cellStyle name="Explanatory Text 5" xfId="1001" xr:uid="{00000000-0005-0000-0000-000009040000}"/>
    <cellStyle name="Followed Hyperlink" xfId="1002" xr:uid="{00000000-0005-0000-0000-00000A040000}"/>
    <cellStyle name="Followed Hyperlink 10" xfId="1835" xr:uid="{00000000-0005-0000-0000-00000B040000}"/>
    <cellStyle name="Followed Hyperlink 100" xfId="1836" xr:uid="{00000000-0005-0000-0000-00000C040000}"/>
    <cellStyle name="Followed Hyperlink 101" xfId="1837" xr:uid="{00000000-0005-0000-0000-00000D040000}"/>
    <cellStyle name="Followed Hyperlink 102" xfId="1838" xr:uid="{00000000-0005-0000-0000-00000E040000}"/>
    <cellStyle name="Followed Hyperlink 103" xfId="1839" xr:uid="{00000000-0005-0000-0000-00000F040000}"/>
    <cellStyle name="Followed Hyperlink 104" xfId="1840" xr:uid="{00000000-0005-0000-0000-000010040000}"/>
    <cellStyle name="Followed Hyperlink 105" xfId="1841" xr:uid="{00000000-0005-0000-0000-000011040000}"/>
    <cellStyle name="Followed Hyperlink 106" xfId="1842" xr:uid="{00000000-0005-0000-0000-000012040000}"/>
    <cellStyle name="Followed Hyperlink 107" xfId="1843" xr:uid="{00000000-0005-0000-0000-000013040000}"/>
    <cellStyle name="Followed Hyperlink 108" xfId="1844" xr:uid="{00000000-0005-0000-0000-000014040000}"/>
    <cellStyle name="Followed Hyperlink 109" xfId="1845" xr:uid="{00000000-0005-0000-0000-000015040000}"/>
    <cellStyle name="Followed Hyperlink 11" xfId="1846" xr:uid="{00000000-0005-0000-0000-000016040000}"/>
    <cellStyle name="Followed Hyperlink 110" xfId="1847" xr:uid="{00000000-0005-0000-0000-000017040000}"/>
    <cellStyle name="Followed Hyperlink 111" xfId="1848" xr:uid="{00000000-0005-0000-0000-000018040000}"/>
    <cellStyle name="Followed Hyperlink 112" xfId="1849" xr:uid="{00000000-0005-0000-0000-000019040000}"/>
    <cellStyle name="Followed Hyperlink 113" xfId="1850" xr:uid="{00000000-0005-0000-0000-00001A040000}"/>
    <cellStyle name="Followed Hyperlink 114" xfId="1851" xr:uid="{00000000-0005-0000-0000-00001B040000}"/>
    <cellStyle name="Followed Hyperlink 115" xfId="1852" xr:uid="{00000000-0005-0000-0000-00001C040000}"/>
    <cellStyle name="Followed Hyperlink 116" xfId="1853" xr:uid="{00000000-0005-0000-0000-00001D040000}"/>
    <cellStyle name="Followed Hyperlink 117" xfId="1854" xr:uid="{00000000-0005-0000-0000-00001E040000}"/>
    <cellStyle name="Followed Hyperlink 118" xfId="1855" xr:uid="{00000000-0005-0000-0000-00001F040000}"/>
    <cellStyle name="Followed Hyperlink 119" xfId="1856" xr:uid="{00000000-0005-0000-0000-000020040000}"/>
    <cellStyle name="Followed Hyperlink 12" xfId="1857" xr:uid="{00000000-0005-0000-0000-000021040000}"/>
    <cellStyle name="Followed Hyperlink 120" xfId="1858" xr:uid="{00000000-0005-0000-0000-000022040000}"/>
    <cellStyle name="Followed Hyperlink 121" xfId="1859" xr:uid="{00000000-0005-0000-0000-000023040000}"/>
    <cellStyle name="Followed Hyperlink 122" xfId="1860" xr:uid="{00000000-0005-0000-0000-000024040000}"/>
    <cellStyle name="Followed Hyperlink 123" xfId="1861" xr:uid="{00000000-0005-0000-0000-000025040000}"/>
    <cellStyle name="Followed Hyperlink 124" xfId="1862" xr:uid="{00000000-0005-0000-0000-000026040000}"/>
    <cellStyle name="Followed Hyperlink 125" xfId="1863" xr:uid="{00000000-0005-0000-0000-000027040000}"/>
    <cellStyle name="Followed Hyperlink 126" xfId="1864" xr:uid="{00000000-0005-0000-0000-000028040000}"/>
    <cellStyle name="Followed Hyperlink 127" xfId="1865" xr:uid="{00000000-0005-0000-0000-000029040000}"/>
    <cellStyle name="Followed Hyperlink 128" xfId="1866" xr:uid="{00000000-0005-0000-0000-00002A040000}"/>
    <cellStyle name="Followed Hyperlink 129" xfId="1867" xr:uid="{00000000-0005-0000-0000-00002B040000}"/>
    <cellStyle name="Followed Hyperlink 13" xfId="1868" xr:uid="{00000000-0005-0000-0000-00002C040000}"/>
    <cellStyle name="Followed Hyperlink 130" xfId="1869" xr:uid="{00000000-0005-0000-0000-00002D040000}"/>
    <cellStyle name="Followed Hyperlink 131" xfId="1870" xr:uid="{00000000-0005-0000-0000-00002E040000}"/>
    <cellStyle name="Followed Hyperlink 132" xfId="1871" xr:uid="{00000000-0005-0000-0000-00002F040000}"/>
    <cellStyle name="Followed Hyperlink 133" xfId="1872" xr:uid="{00000000-0005-0000-0000-000030040000}"/>
    <cellStyle name="Followed Hyperlink 134" xfId="1873" xr:uid="{00000000-0005-0000-0000-000031040000}"/>
    <cellStyle name="Followed Hyperlink 135" xfId="1874" xr:uid="{00000000-0005-0000-0000-000032040000}"/>
    <cellStyle name="Followed Hyperlink 136" xfId="1875" xr:uid="{00000000-0005-0000-0000-000033040000}"/>
    <cellStyle name="Followed Hyperlink 137" xfId="1876" xr:uid="{00000000-0005-0000-0000-000034040000}"/>
    <cellStyle name="Followed Hyperlink 138" xfId="1877" xr:uid="{00000000-0005-0000-0000-000035040000}"/>
    <cellStyle name="Followed Hyperlink 139" xfId="1878" xr:uid="{00000000-0005-0000-0000-000036040000}"/>
    <cellStyle name="Followed Hyperlink 14" xfId="1879" xr:uid="{00000000-0005-0000-0000-000037040000}"/>
    <cellStyle name="Followed Hyperlink 140" xfId="1880" xr:uid="{00000000-0005-0000-0000-000038040000}"/>
    <cellStyle name="Followed Hyperlink 141" xfId="1881" xr:uid="{00000000-0005-0000-0000-000039040000}"/>
    <cellStyle name="Followed Hyperlink 142" xfId="1882" xr:uid="{00000000-0005-0000-0000-00003A040000}"/>
    <cellStyle name="Followed Hyperlink 143" xfId="1883" xr:uid="{00000000-0005-0000-0000-00003B040000}"/>
    <cellStyle name="Followed Hyperlink 144" xfId="1884" xr:uid="{00000000-0005-0000-0000-00003C040000}"/>
    <cellStyle name="Followed Hyperlink 145" xfId="1885" xr:uid="{00000000-0005-0000-0000-00003D040000}"/>
    <cellStyle name="Followed Hyperlink 146" xfId="1886" xr:uid="{00000000-0005-0000-0000-00003E040000}"/>
    <cellStyle name="Followed Hyperlink 147" xfId="1887" xr:uid="{00000000-0005-0000-0000-00003F040000}"/>
    <cellStyle name="Followed Hyperlink 148" xfId="1888" xr:uid="{00000000-0005-0000-0000-000040040000}"/>
    <cellStyle name="Followed Hyperlink 149" xfId="1889" xr:uid="{00000000-0005-0000-0000-000041040000}"/>
    <cellStyle name="Followed Hyperlink 15" xfId="1890" xr:uid="{00000000-0005-0000-0000-000042040000}"/>
    <cellStyle name="Followed Hyperlink 150" xfId="1891" xr:uid="{00000000-0005-0000-0000-000043040000}"/>
    <cellStyle name="Followed Hyperlink 151" xfId="1892" xr:uid="{00000000-0005-0000-0000-000044040000}"/>
    <cellStyle name="Followed Hyperlink 152" xfId="1893" xr:uid="{00000000-0005-0000-0000-000045040000}"/>
    <cellStyle name="Followed Hyperlink 153" xfId="1894" xr:uid="{00000000-0005-0000-0000-000046040000}"/>
    <cellStyle name="Followed Hyperlink 154" xfId="1895" xr:uid="{00000000-0005-0000-0000-000047040000}"/>
    <cellStyle name="Followed Hyperlink 155" xfId="1896" xr:uid="{00000000-0005-0000-0000-000048040000}"/>
    <cellStyle name="Followed Hyperlink 156" xfId="1897" xr:uid="{00000000-0005-0000-0000-000049040000}"/>
    <cellStyle name="Followed Hyperlink 157" xfId="1898" xr:uid="{00000000-0005-0000-0000-00004A040000}"/>
    <cellStyle name="Followed Hyperlink 158" xfId="1899" xr:uid="{00000000-0005-0000-0000-00004B040000}"/>
    <cellStyle name="Followed Hyperlink 159" xfId="1900" xr:uid="{00000000-0005-0000-0000-00004C040000}"/>
    <cellStyle name="Followed Hyperlink 16" xfId="1901" xr:uid="{00000000-0005-0000-0000-00004D040000}"/>
    <cellStyle name="Followed Hyperlink 160" xfId="1902" xr:uid="{00000000-0005-0000-0000-00004E040000}"/>
    <cellStyle name="Followed Hyperlink 161" xfId="1903" xr:uid="{00000000-0005-0000-0000-00004F040000}"/>
    <cellStyle name="Followed Hyperlink 162" xfId="1904" xr:uid="{00000000-0005-0000-0000-000050040000}"/>
    <cellStyle name="Followed Hyperlink 163" xfId="1905" xr:uid="{00000000-0005-0000-0000-000051040000}"/>
    <cellStyle name="Followed Hyperlink 164" xfId="1906" xr:uid="{00000000-0005-0000-0000-000052040000}"/>
    <cellStyle name="Followed Hyperlink 165" xfId="1907" xr:uid="{00000000-0005-0000-0000-000053040000}"/>
    <cellStyle name="Followed Hyperlink 166" xfId="1908" xr:uid="{00000000-0005-0000-0000-000054040000}"/>
    <cellStyle name="Followed Hyperlink 167" xfId="1909" xr:uid="{00000000-0005-0000-0000-000055040000}"/>
    <cellStyle name="Followed Hyperlink 168" xfId="1910" xr:uid="{00000000-0005-0000-0000-000056040000}"/>
    <cellStyle name="Followed Hyperlink 169" xfId="1911" xr:uid="{00000000-0005-0000-0000-000057040000}"/>
    <cellStyle name="Followed Hyperlink 17" xfId="1912" xr:uid="{00000000-0005-0000-0000-000058040000}"/>
    <cellStyle name="Followed Hyperlink 170" xfId="1913" xr:uid="{00000000-0005-0000-0000-000059040000}"/>
    <cellStyle name="Followed Hyperlink 171" xfId="1914" xr:uid="{00000000-0005-0000-0000-00005A040000}"/>
    <cellStyle name="Followed Hyperlink 172" xfId="1915" xr:uid="{00000000-0005-0000-0000-00005B040000}"/>
    <cellStyle name="Followed Hyperlink 173" xfId="1916" xr:uid="{00000000-0005-0000-0000-00005C040000}"/>
    <cellStyle name="Followed Hyperlink 174" xfId="1917" xr:uid="{00000000-0005-0000-0000-00005D040000}"/>
    <cellStyle name="Followed Hyperlink 175" xfId="1918" xr:uid="{00000000-0005-0000-0000-00005E040000}"/>
    <cellStyle name="Followed Hyperlink 176" xfId="1919" xr:uid="{00000000-0005-0000-0000-00005F040000}"/>
    <cellStyle name="Followed Hyperlink 177" xfId="1920" xr:uid="{00000000-0005-0000-0000-000060040000}"/>
    <cellStyle name="Followed Hyperlink 178" xfId="1921" xr:uid="{00000000-0005-0000-0000-000061040000}"/>
    <cellStyle name="Followed Hyperlink 18" xfId="1922" xr:uid="{00000000-0005-0000-0000-000062040000}"/>
    <cellStyle name="Followed Hyperlink 19" xfId="1923" xr:uid="{00000000-0005-0000-0000-000063040000}"/>
    <cellStyle name="Followed Hyperlink 2" xfId="1924" xr:uid="{00000000-0005-0000-0000-000064040000}"/>
    <cellStyle name="Followed Hyperlink 20" xfId="1925" xr:uid="{00000000-0005-0000-0000-000065040000}"/>
    <cellStyle name="Followed Hyperlink 21" xfId="1926" xr:uid="{00000000-0005-0000-0000-000066040000}"/>
    <cellStyle name="Followed Hyperlink 22" xfId="1927" xr:uid="{00000000-0005-0000-0000-000067040000}"/>
    <cellStyle name="Followed Hyperlink 23" xfId="1928" xr:uid="{00000000-0005-0000-0000-000068040000}"/>
    <cellStyle name="Followed Hyperlink 24" xfId="1929" xr:uid="{00000000-0005-0000-0000-000069040000}"/>
    <cellStyle name="Followed Hyperlink 25" xfId="1930" xr:uid="{00000000-0005-0000-0000-00006A040000}"/>
    <cellStyle name="Followed Hyperlink 26" xfId="1931" xr:uid="{00000000-0005-0000-0000-00006B040000}"/>
    <cellStyle name="Followed Hyperlink 27" xfId="1932" xr:uid="{00000000-0005-0000-0000-00006C040000}"/>
    <cellStyle name="Followed Hyperlink 28" xfId="1933" xr:uid="{00000000-0005-0000-0000-00006D040000}"/>
    <cellStyle name="Followed Hyperlink 29" xfId="1934" xr:uid="{00000000-0005-0000-0000-00006E040000}"/>
    <cellStyle name="Followed Hyperlink 3" xfId="1935" xr:uid="{00000000-0005-0000-0000-00006F040000}"/>
    <cellStyle name="Followed Hyperlink 30" xfId="1936" xr:uid="{00000000-0005-0000-0000-000070040000}"/>
    <cellStyle name="Followed Hyperlink 31" xfId="1937" xr:uid="{00000000-0005-0000-0000-000071040000}"/>
    <cellStyle name="Followed Hyperlink 32" xfId="1938" xr:uid="{00000000-0005-0000-0000-000072040000}"/>
    <cellStyle name="Followed Hyperlink 33" xfId="1939" xr:uid="{00000000-0005-0000-0000-000073040000}"/>
    <cellStyle name="Followed Hyperlink 34" xfId="1940" xr:uid="{00000000-0005-0000-0000-000074040000}"/>
    <cellStyle name="Followed Hyperlink 35" xfId="1941" xr:uid="{00000000-0005-0000-0000-000075040000}"/>
    <cellStyle name="Followed Hyperlink 36" xfId="1942" xr:uid="{00000000-0005-0000-0000-000076040000}"/>
    <cellStyle name="Followed Hyperlink 37" xfId="1943" xr:uid="{00000000-0005-0000-0000-000077040000}"/>
    <cellStyle name="Followed Hyperlink 38" xfId="1944" xr:uid="{00000000-0005-0000-0000-000078040000}"/>
    <cellStyle name="Followed Hyperlink 39" xfId="1945" xr:uid="{00000000-0005-0000-0000-000079040000}"/>
    <cellStyle name="Followed Hyperlink 4" xfId="1946" xr:uid="{00000000-0005-0000-0000-00007A040000}"/>
    <cellStyle name="Followed Hyperlink 40" xfId="1947" xr:uid="{00000000-0005-0000-0000-00007B040000}"/>
    <cellStyle name="Followed Hyperlink 41" xfId="1948" xr:uid="{00000000-0005-0000-0000-00007C040000}"/>
    <cellStyle name="Followed Hyperlink 42" xfId="1949" xr:uid="{00000000-0005-0000-0000-00007D040000}"/>
    <cellStyle name="Followed Hyperlink 43" xfId="1950" xr:uid="{00000000-0005-0000-0000-00007E040000}"/>
    <cellStyle name="Followed Hyperlink 44" xfId="1951" xr:uid="{00000000-0005-0000-0000-00007F040000}"/>
    <cellStyle name="Followed Hyperlink 45" xfId="1952" xr:uid="{00000000-0005-0000-0000-000080040000}"/>
    <cellStyle name="Followed Hyperlink 46" xfId="1953" xr:uid="{00000000-0005-0000-0000-000081040000}"/>
    <cellStyle name="Followed Hyperlink 47" xfId="1954" xr:uid="{00000000-0005-0000-0000-000082040000}"/>
    <cellStyle name="Followed Hyperlink 48" xfId="1955" xr:uid="{00000000-0005-0000-0000-000083040000}"/>
    <cellStyle name="Followed Hyperlink 49" xfId="1956" xr:uid="{00000000-0005-0000-0000-000084040000}"/>
    <cellStyle name="Followed Hyperlink 5" xfId="1957" xr:uid="{00000000-0005-0000-0000-000085040000}"/>
    <cellStyle name="Followed Hyperlink 50" xfId="1958" xr:uid="{00000000-0005-0000-0000-000086040000}"/>
    <cellStyle name="Followed Hyperlink 51" xfId="1959" xr:uid="{00000000-0005-0000-0000-000087040000}"/>
    <cellStyle name="Followed Hyperlink 52" xfId="1960" xr:uid="{00000000-0005-0000-0000-000088040000}"/>
    <cellStyle name="Followed Hyperlink 53" xfId="1961" xr:uid="{00000000-0005-0000-0000-000089040000}"/>
    <cellStyle name="Followed Hyperlink 54" xfId="1962" xr:uid="{00000000-0005-0000-0000-00008A040000}"/>
    <cellStyle name="Followed Hyperlink 55" xfId="1963" xr:uid="{00000000-0005-0000-0000-00008B040000}"/>
    <cellStyle name="Followed Hyperlink 56" xfId="1964" xr:uid="{00000000-0005-0000-0000-00008C040000}"/>
    <cellStyle name="Followed Hyperlink 57" xfId="1965" xr:uid="{00000000-0005-0000-0000-00008D040000}"/>
    <cellStyle name="Followed Hyperlink 58" xfId="1966" xr:uid="{00000000-0005-0000-0000-00008E040000}"/>
    <cellStyle name="Followed Hyperlink 59" xfId="1967" xr:uid="{00000000-0005-0000-0000-00008F040000}"/>
    <cellStyle name="Followed Hyperlink 6" xfId="1968" xr:uid="{00000000-0005-0000-0000-000090040000}"/>
    <cellStyle name="Followed Hyperlink 60" xfId="1969" xr:uid="{00000000-0005-0000-0000-000091040000}"/>
    <cellStyle name="Followed Hyperlink 61" xfId="1970" xr:uid="{00000000-0005-0000-0000-000092040000}"/>
    <cellStyle name="Followed Hyperlink 62" xfId="1971" xr:uid="{00000000-0005-0000-0000-000093040000}"/>
    <cellStyle name="Followed Hyperlink 63" xfId="1972" xr:uid="{00000000-0005-0000-0000-000094040000}"/>
    <cellStyle name="Followed Hyperlink 64" xfId="1973" xr:uid="{00000000-0005-0000-0000-000095040000}"/>
    <cellStyle name="Followed Hyperlink 65" xfId="1974" xr:uid="{00000000-0005-0000-0000-000096040000}"/>
    <cellStyle name="Followed Hyperlink 66" xfId="1975" xr:uid="{00000000-0005-0000-0000-000097040000}"/>
    <cellStyle name="Followed Hyperlink 67" xfId="1976" xr:uid="{00000000-0005-0000-0000-000098040000}"/>
    <cellStyle name="Followed Hyperlink 68" xfId="1977" xr:uid="{00000000-0005-0000-0000-000099040000}"/>
    <cellStyle name="Followed Hyperlink 69" xfId="1978" xr:uid="{00000000-0005-0000-0000-00009A040000}"/>
    <cellStyle name="Followed Hyperlink 7" xfId="1979" xr:uid="{00000000-0005-0000-0000-00009B040000}"/>
    <cellStyle name="Followed Hyperlink 70" xfId="1980" xr:uid="{00000000-0005-0000-0000-00009C040000}"/>
    <cellStyle name="Followed Hyperlink 71" xfId="1981" xr:uid="{00000000-0005-0000-0000-00009D040000}"/>
    <cellStyle name="Followed Hyperlink 72" xfId="1982" xr:uid="{00000000-0005-0000-0000-00009E040000}"/>
    <cellStyle name="Followed Hyperlink 73" xfId="1983" xr:uid="{00000000-0005-0000-0000-00009F040000}"/>
    <cellStyle name="Followed Hyperlink 74" xfId="1984" xr:uid="{00000000-0005-0000-0000-0000A0040000}"/>
    <cellStyle name="Followed Hyperlink 75" xfId="1985" xr:uid="{00000000-0005-0000-0000-0000A1040000}"/>
    <cellStyle name="Followed Hyperlink 76" xfId="1986" xr:uid="{00000000-0005-0000-0000-0000A2040000}"/>
    <cellStyle name="Followed Hyperlink 77" xfId="1987" xr:uid="{00000000-0005-0000-0000-0000A3040000}"/>
    <cellStyle name="Followed Hyperlink 78" xfId="1988" xr:uid="{00000000-0005-0000-0000-0000A4040000}"/>
    <cellStyle name="Followed Hyperlink 79" xfId="1989" xr:uid="{00000000-0005-0000-0000-0000A5040000}"/>
    <cellStyle name="Followed Hyperlink 8" xfId="1990" xr:uid="{00000000-0005-0000-0000-0000A6040000}"/>
    <cellStyle name="Followed Hyperlink 80" xfId="1991" xr:uid="{00000000-0005-0000-0000-0000A7040000}"/>
    <cellStyle name="Followed Hyperlink 81" xfId="1992" xr:uid="{00000000-0005-0000-0000-0000A8040000}"/>
    <cellStyle name="Followed Hyperlink 82" xfId="1993" xr:uid="{00000000-0005-0000-0000-0000A9040000}"/>
    <cellStyle name="Followed Hyperlink 83" xfId="1994" xr:uid="{00000000-0005-0000-0000-0000AA040000}"/>
    <cellStyle name="Followed Hyperlink 84" xfId="1995" xr:uid="{00000000-0005-0000-0000-0000AB040000}"/>
    <cellStyle name="Followed Hyperlink 85" xfId="1996" xr:uid="{00000000-0005-0000-0000-0000AC040000}"/>
    <cellStyle name="Followed Hyperlink 86" xfId="1997" xr:uid="{00000000-0005-0000-0000-0000AD040000}"/>
    <cellStyle name="Followed Hyperlink 87" xfId="1998" xr:uid="{00000000-0005-0000-0000-0000AE040000}"/>
    <cellStyle name="Followed Hyperlink 88" xfId="1999" xr:uid="{00000000-0005-0000-0000-0000AF040000}"/>
    <cellStyle name="Followed Hyperlink 89" xfId="2000" xr:uid="{00000000-0005-0000-0000-0000B0040000}"/>
    <cellStyle name="Followed Hyperlink 9" xfId="2001" xr:uid="{00000000-0005-0000-0000-0000B1040000}"/>
    <cellStyle name="Followed Hyperlink 90" xfId="2002" xr:uid="{00000000-0005-0000-0000-0000B2040000}"/>
    <cellStyle name="Followed Hyperlink 91" xfId="2003" xr:uid="{00000000-0005-0000-0000-0000B3040000}"/>
    <cellStyle name="Followed Hyperlink 92" xfId="2004" xr:uid="{00000000-0005-0000-0000-0000B4040000}"/>
    <cellStyle name="Followed Hyperlink 93" xfId="2005" xr:uid="{00000000-0005-0000-0000-0000B5040000}"/>
    <cellStyle name="Followed Hyperlink 94" xfId="2006" xr:uid="{00000000-0005-0000-0000-0000B6040000}"/>
    <cellStyle name="Followed Hyperlink 95" xfId="2007" xr:uid="{00000000-0005-0000-0000-0000B7040000}"/>
    <cellStyle name="Followed Hyperlink 96" xfId="2008" xr:uid="{00000000-0005-0000-0000-0000B8040000}"/>
    <cellStyle name="Followed Hyperlink 97" xfId="2009" xr:uid="{00000000-0005-0000-0000-0000B9040000}"/>
    <cellStyle name="Followed Hyperlink 98" xfId="2010" xr:uid="{00000000-0005-0000-0000-0000BA040000}"/>
    <cellStyle name="Followed Hyperlink 99" xfId="2011" xr:uid="{00000000-0005-0000-0000-0000BB040000}"/>
    <cellStyle name="Good" xfId="1003" xr:uid="{00000000-0005-0000-0000-0000BC040000}"/>
    <cellStyle name="Good 2" xfId="1004" xr:uid="{00000000-0005-0000-0000-0000BD040000}"/>
    <cellStyle name="Good 3" xfId="1005" xr:uid="{00000000-0005-0000-0000-0000BE040000}"/>
    <cellStyle name="Good 4" xfId="1006" xr:uid="{00000000-0005-0000-0000-0000BF040000}"/>
    <cellStyle name="Good 5" xfId="1007" xr:uid="{00000000-0005-0000-0000-0000C0040000}"/>
    <cellStyle name="Grey" xfId="1008" xr:uid="{00000000-0005-0000-0000-0000C1040000}"/>
    <cellStyle name="Heading 1" xfId="1009" xr:uid="{00000000-0005-0000-0000-0000C2040000}"/>
    <cellStyle name="Heading 1 2" xfId="1010" xr:uid="{00000000-0005-0000-0000-0000C3040000}"/>
    <cellStyle name="Heading 1 3" xfId="1011" xr:uid="{00000000-0005-0000-0000-0000C4040000}"/>
    <cellStyle name="Heading 1 4" xfId="1012" xr:uid="{00000000-0005-0000-0000-0000C5040000}"/>
    <cellStyle name="Heading 1 5" xfId="1013" xr:uid="{00000000-0005-0000-0000-0000C6040000}"/>
    <cellStyle name="Heading 2" xfId="1014" xr:uid="{00000000-0005-0000-0000-0000C7040000}"/>
    <cellStyle name="Heading 2 2" xfId="1015" xr:uid="{00000000-0005-0000-0000-0000C8040000}"/>
    <cellStyle name="Heading 2 3" xfId="1016" xr:uid="{00000000-0005-0000-0000-0000C9040000}"/>
    <cellStyle name="Heading 2 4" xfId="1017" xr:uid="{00000000-0005-0000-0000-0000CA040000}"/>
    <cellStyle name="Heading 2 5" xfId="1018" xr:uid="{00000000-0005-0000-0000-0000CB040000}"/>
    <cellStyle name="Heading 3" xfId="1019" xr:uid="{00000000-0005-0000-0000-0000CC040000}"/>
    <cellStyle name="Heading 3 2" xfId="1020" xr:uid="{00000000-0005-0000-0000-0000CD040000}"/>
    <cellStyle name="Heading 3 3" xfId="1021" xr:uid="{00000000-0005-0000-0000-0000CE040000}"/>
    <cellStyle name="Heading 3 4" xfId="1022" xr:uid="{00000000-0005-0000-0000-0000CF040000}"/>
    <cellStyle name="Heading 3 5" xfId="1023" xr:uid="{00000000-0005-0000-0000-0000D0040000}"/>
    <cellStyle name="Heading 4" xfId="1024" xr:uid="{00000000-0005-0000-0000-0000D1040000}"/>
    <cellStyle name="Heading 4 2" xfId="1025" xr:uid="{00000000-0005-0000-0000-0000D2040000}"/>
    <cellStyle name="Heading 4 3" xfId="1026" xr:uid="{00000000-0005-0000-0000-0000D3040000}"/>
    <cellStyle name="Heading 4 4" xfId="1027" xr:uid="{00000000-0005-0000-0000-0000D4040000}"/>
    <cellStyle name="Heading 4 5" xfId="1028" xr:uid="{00000000-0005-0000-0000-0000D5040000}"/>
    <cellStyle name="Hyperlink" xfId="1029" xr:uid="{00000000-0005-0000-0000-0000D6040000}"/>
    <cellStyle name="Hyperlink 10" xfId="2012" xr:uid="{00000000-0005-0000-0000-0000D7040000}"/>
    <cellStyle name="Hyperlink 100" xfId="2013" xr:uid="{00000000-0005-0000-0000-0000D8040000}"/>
    <cellStyle name="Hyperlink 101" xfId="2014" xr:uid="{00000000-0005-0000-0000-0000D9040000}"/>
    <cellStyle name="Hyperlink 102" xfId="2015" xr:uid="{00000000-0005-0000-0000-0000DA040000}"/>
    <cellStyle name="Hyperlink 103" xfId="2016" xr:uid="{00000000-0005-0000-0000-0000DB040000}"/>
    <cellStyle name="Hyperlink 104" xfId="2017" xr:uid="{00000000-0005-0000-0000-0000DC040000}"/>
    <cellStyle name="Hyperlink 105" xfId="2018" xr:uid="{00000000-0005-0000-0000-0000DD040000}"/>
    <cellStyle name="Hyperlink 106" xfId="2019" xr:uid="{00000000-0005-0000-0000-0000DE040000}"/>
    <cellStyle name="Hyperlink 107" xfId="2020" xr:uid="{00000000-0005-0000-0000-0000DF040000}"/>
    <cellStyle name="Hyperlink 108" xfId="2021" xr:uid="{00000000-0005-0000-0000-0000E0040000}"/>
    <cellStyle name="Hyperlink 109" xfId="2022" xr:uid="{00000000-0005-0000-0000-0000E1040000}"/>
    <cellStyle name="Hyperlink 11" xfId="2023" xr:uid="{00000000-0005-0000-0000-0000E2040000}"/>
    <cellStyle name="Hyperlink 110" xfId="2024" xr:uid="{00000000-0005-0000-0000-0000E3040000}"/>
    <cellStyle name="Hyperlink 111" xfId="2025" xr:uid="{00000000-0005-0000-0000-0000E4040000}"/>
    <cellStyle name="Hyperlink 112" xfId="2026" xr:uid="{00000000-0005-0000-0000-0000E5040000}"/>
    <cellStyle name="Hyperlink 113" xfId="2027" xr:uid="{00000000-0005-0000-0000-0000E6040000}"/>
    <cellStyle name="Hyperlink 114" xfId="2028" xr:uid="{00000000-0005-0000-0000-0000E7040000}"/>
    <cellStyle name="Hyperlink 115" xfId="2029" xr:uid="{00000000-0005-0000-0000-0000E8040000}"/>
    <cellStyle name="Hyperlink 116" xfId="2030" xr:uid="{00000000-0005-0000-0000-0000E9040000}"/>
    <cellStyle name="Hyperlink 117" xfId="2031" xr:uid="{00000000-0005-0000-0000-0000EA040000}"/>
    <cellStyle name="Hyperlink 118" xfId="2032" xr:uid="{00000000-0005-0000-0000-0000EB040000}"/>
    <cellStyle name="Hyperlink 119" xfId="2033" xr:uid="{00000000-0005-0000-0000-0000EC040000}"/>
    <cellStyle name="Hyperlink 12" xfId="2034" xr:uid="{00000000-0005-0000-0000-0000ED040000}"/>
    <cellStyle name="Hyperlink 120" xfId="2035" xr:uid="{00000000-0005-0000-0000-0000EE040000}"/>
    <cellStyle name="Hyperlink 121" xfId="2036" xr:uid="{00000000-0005-0000-0000-0000EF040000}"/>
    <cellStyle name="Hyperlink 122" xfId="2037" xr:uid="{00000000-0005-0000-0000-0000F0040000}"/>
    <cellStyle name="Hyperlink 123" xfId="2038" xr:uid="{00000000-0005-0000-0000-0000F1040000}"/>
    <cellStyle name="Hyperlink 124" xfId="2039" xr:uid="{00000000-0005-0000-0000-0000F2040000}"/>
    <cellStyle name="Hyperlink 125" xfId="2040" xr:uid="{00000000-0005-0000-0000-0000F3040000}"/>
    <cellStyle name="Hyperlink 126" xfId="2041" xr:uid="{00000000-0005-0000-0000-0000F4040000}"/>
    <cellStyle name="Hyperlink 127" xfId="2042" xr:uid="{00000000-0005-0000-0000-0000F5040000}"/>
    <cellStyle name="Hyperlink 128" xfId="2043" xr:uid="{00000000-0005-0000-0000-0000F6040000}"/>
    <cellStyle name="Hyperlink 129" xfId="2044" xr:uid="{00000000-0005-0000-0000-0000F7040000}"/>
    <cellStyle name="Hyperlink 13" xfId="2045" xr:uid="{00000000-0005-0000-0000-0000F8040000}"/>
    <cellStyle name="Hyperlink 130" xfId="2046" xr:uid="{00000000-0005-0000-0000-0000F9040000}"/>
    <cellStyle name="Hyperlink 131" xfId="2047" xr:uid="{00000000-0005-0000-0000-0000FA040000}"/>
    <cellStyle name="Hyperlink 132" xfId="2048" xr:uid="{00000000-0005-0000-0000-0000FB040000}"/>
    <cellStyle name="Hyperlink 133" xfId="2049" xr:uid="{00000000-0005-0000-0000-0000FC040000}"/>
    <cellStyle name="Hyperlink 134" xfId="2050" xr:uid="{00000000-0005-0000-0000-0000FD040000}"/>
    <cellStyle name="Hyperlink 135" xfId="2051" xr:uid="{00000000-0005-0000-0000-0000FE040000}"/>
    <cellStyle name="Hyperlink 136" xfId="2052" xr:uid="{00000000-0005-0000-0000-0000FF040000}"/>
    <cellStyle name="Hyperlink 137" xfId="2053" xr:uid="{00000000-0005-0000-0000-000000050000}"/>
    <cellStyle name="Hyperlink 138" xfId="2054" xr:uid="{00000000-0005-0000-0000-000001050000}"/>
    <cellStyle name="Hyperlink 139" xfId="2055" xr:uid="{00000000-0005-0000-0000-000002050000}"/>
    <cellStyle name="Hyperlink 14" xfId="2056" xr:uid="{00000000-0005-0000-0000-000003050000}"/>
    <cellStyle name="Hyperlink 140" xfId="2057" xr:uid="{00000000-0005-0000-0000-000004050000}"/>
    <cellStyle name="Hyperlink 141" xfId="2058" xr:uid="{00000000-0005-0000-0000-000005050000}"/>
    <cellStyle name="Hyperlink 142" xfId="2059" xr:uid="{00000000-0005-0000-0000-000006050000}"/>
    <cellStyle name="Hyperlink 143" xfId="2060" xr:uid="{00000000-0005-0000-0000-000007050000}"/>
    <cellStyle name="Hyperlink 144" xfId="2061" xr:uid="{00000000-0005-0000-0000-000008050000}"/>
    <cellStyle name="Hyperlink 145" xfId="2062" xr:uid="{00000000-0005-0000-0000-000009050000}"/>
    <cellStyle name="Hyperlink 146" xfId="2063" xr:uid="{00000000-0005-0000-0000-00000A050000}"/>
    <cellStyle name="Hyperlink 147" xfId="2064" xr:uid="{00000000-0005-0000-0000-00000B050000}"/>
    <cellStyle name="Hyperlink 148" xfId="2065" xr:uid="{00000000-0005-0000-0000-00000C050000}"/>
    <cellStyle name="Hyperlink 149" xfId="2066" xr:uid="{00000000-0005-0000-0000-00000D050000}"/>
    <cellStyle name="Hyperlink 15" xfId="2067" xr:uid="{00000000-0005-0000-0000-00000E050000}"/>
    <cellStyle name="Hyperlink 150" xfId="2068" xr:uid="{00000000-0005-0000-0000-00000F050000}"/>
    <cellStyle name="Hyperlink 151" xfId="2069" xr:uid="{00000000-0005-0000-0000-000010050000}"/>
    <cellStyle name="Hyperlink 152" xfId="2070" xr:uid="{00000000-0005-0000-0000-000011050000}"/>
    <cellStyle name="Hyperlink 153" xfId="2071" xr:uid="{00000000-0005-0000-0000-000012050000}"/>
    <cellStyle name="Hyperlink 154" xfId="2072" xr:uid="{00000000-0005-0000-0000-000013050000}"/>
    <cellStyle name="Hyperlink 155" xfId="2073" xr:uid="{00000000-0005-0000-0000-000014050000}"/>
    <cellStyle name="Hyperlink 156" xfId="2074" xr:uid="{00000000-0005-0000-0000-000015050000}"/>
    <cellStyle name="Hyperlink 157" xfId="2075" xr:uid="{00000000-0005-0000-0000-000016050000}"/>
    <cellStyle name="Hyperlink 158" xfId="2076" xr:uid="{00000000-0005-0000-0000-000017050000}"/>
    <cellStyle name="Hyperlink 159" xfId="2077" xr:uid="{00000000-0005-0000-0000-000018050000}"/>
    <cellStyle name="Hyperlink 16" xfId="2078" xr:uid="{00000000-0005-0000-0000-000019050000}"/>
    <cellStyle name="Hyperlink 160" xfId="2079" xr:uid="{00000000-0005-0000-0000-00001A050000}"/>
    <cellStyle name="Hyperlink 161" xfId="2080" xr:uid="{00000000-0005-0000-0000-00001B050000}"/>
    <cellStyle name="Hyperlink 162" xfId="2081" xr:uid="{00000000-0005-0000-0000-00001C050000}"/>
    <cellStyle name="Hyperlink 163" xfId="2082" xr:uid="{00000000-0005-0000-0000-00001D050000}"/>
    <cellStyle name="Hyperlink 164" xfId="2083" xr:uid="{00000000-0005-0000-0000-00001E050000}"/>
    <cellStyle name="Hyperlink 165" xfId="2084" xr:uid="{00000000-0005-0000-0000-00001F050000}"/>
    <cellStyle name="Hyperlink 166" xfId="2085" xr:uid="{00000000-0005-0000-0000-000020050000}"/>
    <cellStyle name="Hyperlink 167" xfId="2086" xr:uid="{00000000-0005-0000-0000-000021050000}"/>
    <cellStyle name="Hyperlink 168" xfId="2087" xr:uid="{00000000-0005-0000-0000-000022050000}"/>
    <cellStyle name="Hyperlink 169" xfId="2088" xr:uid="{00000000-0005-0000-0000-000023050000}"/>
    <cellStyle name="Hyperlink 17" xfId="2089" xr:uid="{00000000-0005-0000-0000-000024050000}"/>
    <cellStyle name="Hyperlink 170" xfId="2090" xr:uid="{00000000-0005-0000-0000-000025050000}"/>
    <cellStyle name="Hyperlink 171" xfId="2091" xr:uid="{00000000-0005-0000-0000-000026050000}"/>
    <cellStyle name="Hyperlink 172" xfId="2092" xr:uid="{00000000-0005-0000-0000-000027050000}"/>
    <cellStyle name="Hyperlink 173" xfId="2093" xr:uid="{00000000-0005-0000-0000-000028050000}"/>
    <cellStyle name="Hyperlink 174" xfId="2094" xr:uid="{00000000-0005-0000-0000-000029050000}"/>
    <cellStyle name="Hyperlink 175" xfId="2095" xr:uid="{00000000-0005-0000-0000-00002A050000}"/>
    <cellStyle name="Hyperlink 176" xfId="2096" xr:uid="{00000000-0005-0000-0000-00002B050000}"/>
    <cellStyle name="Hyperlink 177" xfId="2097" xr:uid="{00000000-0005-0000-0000-00002C050000}"/>
    <cellStyle name="Hyperlink 178" xfId="2098" xr:uid="{00000000-0005-0000-0000-00002D050000}"/>
    <cellStyle name="Hyperlink 179" xfId="2099" xr:uid="{00000000-0005-0000-0000-00002E050000}"/>
    <cellStyle name="Hyperlink 18" xfId="2100" xr:uid="{00000000-0005-0000-0000-00002F050000}"/>
    <cellStyle name="Hyperlink 180" xfId="2101" xr:uid="{00000000-0005-0000-0000-000030050000}"/>
    <cellStyle name="Hyperlink 181" xfId="2102" xr:uid="{00000000-0005-0000-0000-000031050000}"/>
    <cellStyle name="Hyperlink 182" xfId="2103" xr:uid="{00000000-0005-0000-0000-000032050000}"/>
    <cellStyle name="Hyperlink 183" xfId="2104" xr:uid="{00000000-0005-0000-0000-000033050000}"/>
    <cellStyle name="Hyperlink 184" xfId="2105" xr:uid="{00000000-0005-0000-0000-000034050000}"/>
    <cellStyle name="Hyperlink 185" xfId="2106" xr:uid="{00000000-0005-0000-0000-000035050000}"/>
    <cellStyle name="Hyperlink 186" xfId="2107" xr:uid="{00000000-0005-0000-0000-000036050000}"/>
    <cellStyle name="Hyperlink 187" xfId="2108" xr:uid="{00000000-0005-0000-0000-000037050000}"/>
    <cellStyle name="Hyperlink 188" xfId="2109" xr:uid="{00000000-0005-0000-0000-000038050000}"/>
    <cellStyle name="Hyperlink 189" xfId="2110" xr:uid="{00000000-0005-0000-0000-000039050000}"/>
    <cellStyle name="Hyperlink 19" xfId="2111" xr:uid="{00000000-0005-0000-0000-00003A050000}"/>
    <cellStyle name="Hyperlink 190" xfId="2112" xr:uid="{00000000-0005-0000-0000-00003B050000}"/>
    <cellStyle name="Hyperlink 191" xfId="2113" xr:uid="{00000000-0005-0000-0000-00003C050000}"/>
    <cellStyle name="Hyperlink 192" xfId="2114" xr:uid="{00000000-0005-0000-0000-00003D050000}"/>
    <cellStyle name="Hyperlink 193" xfId="2115" xr:uid="{00000000-0005-0000-0000-00003E050000}"/>
    <cellStyle name="Hyperlink 194" xfId="2116" xr:uid="{00000000-0005-0000-0000-00003F050000}"/>
    <cellStyle name="Hyperlink 195" xfId="2117" xr:uid="{00000000-0005-0000-0000-000040050000}"/>
    <cellStyle name="Hyperlink 196" xfId="2118" xr:uid="{00000000-0005-0000-0000-000041050000}"/>
    <cellStyle name="Hyperlink 197" xfId="2119" xr:uid="{00000000-0005-0000-0000-000042050000}"/>
    <cellStyle name="Hyperlink 198" xfId="2120" xr:uid="{00000000-0005-0000-0000-000043050000}"/>
    <cellStyle name="Hyperlink 199" xfId="2121" xr:uid="{00000000-0005-0000-0000-000044050000}"/>
    <cellStyle name="Hyperlink 2" xfId="2122" xr:uid="{00000000-0005-0000-0000-000045050000}"/>
    <cellStyle name="Hyperlink 20" xfId="2123" xr:uid="{00000000-0005-0000-0000-000046050000}"/>
    <cellStyle name="Hyperlink 200" xfId="2124" xr:uid="{00000000-0005-0000-0000-000047050000}"/>
    <cellStyle name="Hyperlink 201" xfId="2125" xr:uid="{00000000-0005-0000-0000-000048050000}"/>
    <cellStyle name="Hyperlink 202" xfId="2126" xr:uid="{00000000-0005-0000-0000-000049050000}"/>
    <cellStyle name="Hyperlink 203" xfId="2127" xr:uid="{00000000-0005-0000-0000-00004A050000}"/>
    <cellStyle name="Hyperlink 204" xfId="2128" xr:uid="{00000000-0005-0000-0000-00004B050000}"/>
    <cellStyle name="Hyperlink 205" xfId="2129" xr:uid="{00000000-0005-0000-0000-00004C050000}"/>
    <cellStyle name="Hyperlink 206" xfId="2130" xr:uid="{00000000-0005-0000-0000-00004D050000}"/>
    <cellStyle name="Hyperlink 207" xfId="2131" xr:uid="{00000000-0005-0000-0000-00004E050000}"/>
    <cellStyle name="Hyperlink 208" xfId="2132" xr:uid="{00000000-0005-0000-0000-00004F050000}"/>
    <cellStyle name="Hyperlink 209" xfId="2133" xr:uid="{00000000-0005-0000-0000-000050050000}"/>
    <cellStyle name="Hyperlink 21" xfId="2134" xr:uid="{00000000-0005-0000-0000-000051050000}"/>
    <cellStyle name="Hyperlink 210" xfId="2135" xr:uid="{00000000-0005-0000-0000-000052050000}"/>
    <cellStyle name="Hyperlink 211" xfId="2136" xr:uid="{00000000-0005-0000-0000-000053050000}"/>
    <cellStyle name="Hyperlink 212" xfId="2137" xr:uid="{00000000-0005-0000-0000-000054050000}"/>
    <cellStyle name="Hyperlink 213" xfId="2138" xr:uid="{00000000-0005-0000-0000-000055050000}"/>
    <cellStyle name="Hyperlink 214" xfId="2139" xr:uid="{00000000-0005-0000-0000-000056050000}"/>
    <cellStyle name="Hyperlink 215" xfId="2140" xr:uid="{00000000-0005-0000-0000-000057050000}"/>
    <cellStyle name="Hyperlink 216" xfId="2141" xr:uid="{00000000-0005-0000-0000-000058050000}"/>
    <cellStyle name="Hyperlink 217" xfId="2142" xr:uid="{00000000-0005-0000-0000-000059050000}"/>
    <cellStyle name="Hyperlink 218" xfId="2143" xr:uid="{00000000-0005-0000-0000-00005A050000}"/>
    <cellStyle name="Hyperlink 219" xfId="2144" xr:uid="{00000000-0005-0000-0000-00005B050000}"/>
    <cellStyle name="Hyperlink 22" xfId="2145" xr:uid="{00000000-0005-0000-0000-00005C050000}"/>
    <cellStyle name="Hyperlink 220" xfId="2146" xr:uid="{00000000-0005-0000-0000-00005D050000}"/>
    <cellStyle name="Hyperlink 221" xfId="2147" xr:uid="{00000000-0005-0000-0000-00005E050000}"/>
    <cellStyle name="Hyperlink 222" xfId="2148" xr:uid="{00000000-0005-0000-0000-00005F050000}"/>
    <cellStyle name="Hyperlink 223" xfId="2149" xr:uid="{00000000-0005-0000-0000-000060050000}"/>
    <cellStyle name="Hyperlink 224" xfId="2150" xr:uid="{00000000-0005-0000-0000-000061050000}"/>
    <cellStyle name="Hyperlink 225" xfId="2151" xr:uid="{00000000-0005-0000-0000-000062050000}"/>
    <cellStyle name="Hyperlink 226" xfId="2152" xr:uid="{00000000-0005-0000-0000-000063050000}"/>
    <cellStyle name="Hyperlink 227" xfId="2153" xr:uid="{00000000-0005-0000-0000-000064050000}"/>
    <cellStyle name="Hyperlink 228" xfId="2154" xr:uid="{00000000-0005-0000-0000-000065050000}"/>
    <cellStyle name="Hyperlink 229" xfId="2155" xr:uid="{00000000-0005-0000-0000-000066050000}"/>
    <cellStyle name="Hyperlink 23" xfId="2156" xr:uid="{00000000-0005-0000-0000-000067050000}"/>
    <cellStyle name="Hyperlink 230" xfId="2157" xr:uid="{00000000-0005-0000-0000-000068050000}"/>
    <cellStyle name="Hyperlink 231" xfId="2158" xr:uid="{00000000-0005-0000-0000-000069050000}"/>
    <cellStyle name="Hyperlink 232" xfId="2159" xr:uid="{00000000-0005-0000-0000-00006A050000}"/>
    <cellStyle name="Hyperlink 233" xfId="2160" xr:uid="{00000000-0005-0000-0000-00006B050000}"/>
    <cellStyle name="Hyperlink 234" xfId="2161" xr:uid="{00000000-0005-0000-0000-00006C050000}"/>
    <cellStyle name="Hyperlink 235" xfId="2162" xr:uid="{00000000-0005-0000-0000-00006D050000}"/>
    <cellStyle name="Hyperlink 236" xfId="2163" xr:uid="{00000000-0005-0000-0000-00006E050000}"/>
    <cellStyle name="Hyperlink 237" xfId="2164" xr:uid="{00000000-0005-0000-0000-00006F050000}"/>
    <cellStyle name="Hyperlink 238" xfId="2165" xr:uid="{00000000-0005-0000-0000-000070050000}"/>
    <cellStyle name="Hyperlink 239" xfId="2166" xr:uid="{00000000-0005-0000-0000-000071050000}"/>
    <cellStyle name="Hyperlink 24" xfId="2167" xr:uid="{00000000-0005-0000-0000-000072050000}"/>
    <cellStyle name="Hyperlink 240" xfId="2168" xr:uid="{00000000-0005-0000-0000-000073050000}"/>
    <cellStyle name="Hyperlink 241" xfId="2169" xr:uid="{00000000-0005-0000-0000-000074050000}"/>
    <cellStyle name="Hyperlink 242" xfId="2170" xr:uid="{00000000-0005-0000-0000-000075050000}"/>
    <cellStyle name="Hyperlink 243" xfId="2171" xr:uid="{00000000-0005-0000-0000-000076050000}"/>
    <cellStyle name="Hyperlink 244" xfId="2172" xr:uid="{00000000-0005-0000-0000-000077050000}"/>
    <cellStyle name="Hyperlink 245" xfId="2173" xr:uid="{00000000-0005-0000-0000-000078050000}"/>
    <cellStyle name="Hyperlink 246" xfId="2174" xr:uid="{00000000-0005-0000-0000-000079050000}"/>
    <cellStyle name="Hyperlink 247" xfId="2175" xr:uid="{00000000-0005-0000-0000-00007A050000}"/>
    <cellStyle name="Hyperlink 248" xfId="2176" xr:uid="{00000000-0005-0000-0000-00007B050000}"/>
    <cellStyle name="Hyperlink 249" xfId="2177" xr:uid="{00000000-0005-0000-0000-00007C050000}"/>
    <cellStyle name="Hyperlink 25" xfId="2178" xr:uid="{00000000-0005-0000-0000-00007D050000}"/>
    <cellStyle name="Hyperlink 250" xfId="2179" xr:uid="{00000000-0005-0000-0000-00007E050000}"/>
    <cellStyle name="Hyperlink 251" xfId="2180" xr:uid="{00000000-0005-0000-0000-00007F050000}"/>
    <cellStyle name="Hyperlink 252" xfId="2181" xr:uid="{00000000-0005-0000-0000-000080050000}"/>
    <cellStyle name="Hyperlink 253" xfId="2182" xr:uid="{00000000-0005-0000-0000-000081050000}"/>
    <cellStyle name="Hyperlink 254" xfId="2183" xr:uid="{00000000-0005-0000-0000-000082050000}"/>
    <cellStyle name="Hyperlink 255" xfId="2184" xr:uid="{00000000-0005-0000-0000-000083050000}"/>
    <cellStyle name="Hyperlink 256" xfId="2185" xr:uid="{00000000-0005-0000-0000-000084050000}"/>
    <cellStyle name="Hyperlink 257" xfId="2186" xr:uid="{00000000-0005-0000-0000-000085050000}"/>
    <cellStyle name="Hyperlink 258" xfId="2187" xr:uid="{00000000-0005-0000-0000-000086050000}"/>
    <cellStyle name="Hyperlink 259" xfId="2188" xr:uid="{00000000-0005-0000-0000-000087050000}"/>
    <cellStyle name="Hyperlink 26" xfId="2189" xr:uid="{00000000-0005-0000-0000-000088050000}"/>
    <cellStyle name="Hyperlink 260" xfId="2190" xr:uid="{00000000-0005-0000-0000-000089050000}"/>
    <cellStyle name="Hyperlink 261" xfId="2191" xr:uid="{00000000-0005-0000-0000-00008A050000}"/>
    <cellStyle name="Hyperlink 262" xfId="2192" xr:uid="{00000000-0005-0000-0000-00008B050000}"/>
    <cellStyle name="Hyperlink 263" xfId="2193" xr:uid="{00000000-0005-0000-0000-00008C050000}"/>
    <cellStyle name="Hyperlink 264" xfId="2194" xr:uid="{00000000-0005-0000-0000-00008D050000}"/>
    <cellStyle name="Hyperlink 265" xfId="2195" xr:uid="{00000000-0005-0000-0000-00008E050000}"/>
    <cellStyle name="Hyperlink 266" xfId="2196" xr:uid="{00000000-0005-0000-0000-00008F050000}"/>
    <cellStyle name="Hyperlink 267" xfId="2197" xr:uid="{00000000-0005-0000-0000-000090050000}"/>
    <cellStyle name="Hyperlink 268" xfId="2198" xr:uid="{00000000-0005-0000-0000-000091050000}"/>
    <cellStyle name="Hyperlink 269" xfId="2199" xr:uid="{00000000-0005-0000-0000-000092050000}"/>
    <cellStyle name="Hyperlink 27" xfId="2200" xr:uid="{00000000-0005-0000-0000-000093050000}"/>
    <cellStyle name="Hyperlink 270" xfId="2201" xr:uid="{00000000-0005-0000-0000-000094050000}"/>
    <cellStyle name="Hyperlink 271" xfId="2202" xr:uid="{00000000-0005-0000-0000-000095050000}"/>
    <cellStyle name="Hyperlink 272" xfId="2203" xr:uid="{00000000-0005-0000-0000-000096050000}"/>
    <cellStyle name="Hyperlink 273" xfId="2204" xr:uid="{00000000-0005-0000-0000-000097050000}"/>
    <cellStyle name="Hyperlink 274" xfId="2205" xr:uid="{00000000-0005-0000-0000-000098050000}"/>
    <cellStyle name="Hyperlink 275" xfId="2206" xr:uid="{00000000-0005-0000-0000-000099050000}"/>
    <cellStyle name="Hyperlink 276" xfId="2207" xr:uid="{00000000-0005-0000-0000-00009A050000}"/>
    <cellStyle name="Hyperlink 277" xfId="2208" xr:uid="{00000000-0005-0000-0000-00009B050000}"/>
    <cellStyle name="Hyperlink 278" xfId="2209" xr:uid="{00000000-0005-0000-0000-00009C050000}"/>
    <cellStyle name="Hyperlink 279" xfId="2210" xr:uid="{00000000-0005-0000-0000-00009D050000}"/>
    <cellStyle name="Hyperlink 28" xfId="2211" xr:uid="{00000000-0005-0000-0000-00009E050000}"/>
    <cellStyle name="Hyperlink 280" xfId="2212" xr:uid="{00000000-0005-0000-0000-00009F050000}"/>
    <cellStyle name="Hyperlink 281" xfId="2213" xr:uid="{00000000-0005-0000-0000-0000A0050000}"/>
    <cellStyle name="Hyperlink 282" xfId="2214" xr:uid="{00000000-0005-0000-0000-0000A1050000}"/>
    <cellStyle name="Hyperlink 283" xfId="2215" xr:uid="{00000000-0005-0000-0000-0000A2050000}"/>
    <cellStyle name="Hyperlink 284" xfId="2216" xr:uid="{00000000-0005-0000-0000-0000A3050000}"/>
    <cellStyle name="Hyperlink 285" xfId="2217" xr:uid="{00000000-0005-0000-0000-0000A4050000}"/>
    <cellStyle name="Hyperlink 286" xfId="2218" xr:uid="{00000000-0005-0000-0000-0000A5050000}"/>
    <cellStyle name="Hyperlink 287" xfId="2219" xr:uid="{00000000-0005-0000-0000-0000A6050000}"/>
    <cellStyle name="Hyperlink 288" xfId="2220" xr:uid="{00000000-0005-0000-0000-0000A7050000}"/>
    <cellStyle name="Hyperlink 289" xfId="2221" xr:uid="{00000000-0005-0000-0000-0000A8050000}"/>
    <cellStyle name="Hyperlink 29" xfId="2222" xr:uid="{00000000-0005-0000-0000-0000A9050000}"/>
    <cellStyle name="Hyperlink 290" xfId="2223" xr:uid="{00000000-0005-0000-0000-0000AA050000}"/>
    <cellStyle name="Hyperlink 291" xfId="2224" xr:uid="{00000000-0005-0000-0000-0000AB050000}"/>
    <cellStyle name="Hyperlink 292" xfId="2225" xr:uid="{00000000-0005-0000-0000-0000AC050000}"/>
    <cellStyle name="Hyperlink 293" xfId="2226" xr:uid="{00000000-0005-0000-0000-0000AD050000}"/>
    <cellStyle name="Hyperlink 294" xfId="2227" xr:uid="{00000000-0005-0000-0000-0000AE050000}"/>
    <cellStyle name="Hyperlink 295" xfId="2228" xr:uid="{00000000-0005-0000-0000-0000AF050000}"/>
    <cellStyle name="Hyperlink 296" xfId="2229" xr:uid="{00000000-0005-0000-0000-0000B0050000}"/>
    <cellStyle name="Hyperlink 297" xfId="2230" xr:uid="{00000000-0005-0000-0000-0000B1050000}"/>
    <cellStyle name="Hyperlink 298" xfId="2231" xr:uid="{00000000-0005-0000-0000-0000B2050000}"/>
    <cellStyle name="Hyperlink 299" xfId="2232" xr:uid="{00000000-0005-0000-0000-0000B3050000}"/>
    <cellStyle name="Hyperlink 3" xfId="2233" xr:uid="{00000000-0005-0000-0000-0000B4050000}"/>
    <cellStyle name="Hyperlink 30" xfId="2234" xr:uid="{00000000-0005-0000-0000-0000B5050000}"/>
    <cellStyle name="Hyperlink 300" xfId="2235" xr:uid="{00000000-0005-0000-0000-0000B6050000}"/>
    <cellStyle name="Hyperlink 301" xfId="2236" xr:uid="{00000000-0005-0000-0000-0000B7050000}"/>
    <cellStyle name="Hyperlink 302" xfId="2237" xr:uid="{00000000-0005-0000-0000-0000B8050000}"/>
    <cellStyle name="Hyperlink 303" xfId="2238" xr:uid="{00000000-0005-0000-0000-0000B9050000}"/>
    <cellStyle name="Hyperlink 304" xfId="2239" xr:uid="{00000000-0005-0000-0000-0000BA050000}"/>
    <cellStyle name="Hyperlink 305" xfId="2240" xr:uid="{00000000-0005-0000-0000-0000BB050000}"/>
    <cellStyle name="Hyperlink 306" xfId="2241" xr:uid="{00000000-0005-0000-0000-0000BC050000}"/>
    <cellStyle name="Hyperlink 307" xfId="2242" xr:uid="{00000000-0005-0000-0000-0000BD050000}"/>
    <cellStyle name="Hyperlink 308" xfId="2243" xr:uid="{00000000-0005-0000-0000-0000BE050000}"/>
    <cellStyle name="Hyperlink 309" xfId="2244" xr:uid="{00000000-0005-0000-0000-0000BF050000}"/>
    <cellStyle name="Hyperlink 31" xfId="2245" xr:uid="{00000000-0005-0000-0000-0000C0050000}"/>
    <cellStyle name="Hyperlink 310" xfId="2246" xr:uid="{00000000-0005-0000-0000-0000C1050000}"/>
    <cellStyle name="Hyperlink 311" xfId="2247" xr:uid="{00000000-0005-0000-0000-0000C2050000}"/>
    <cellStyle name="Hyperlink 312" xfId="2248" xr:uid="{00000000-0005-0000-0000-0000C3050000}"/>
    <cellStyle name="Hyperlink 313" xfId="2249" xr:uid="{00000000-0005-0000-0000-0000C4050000}"/>
    <cellStyle name="Hyperlink 314" xfId="2250" xr:uid="{00000000-0005-0000-0000-0000C5050000}"/>
    <cellStyle name="Hyperlink 315" xfId="2251" xr:uid="{00000000-0005-0000-0000-0000C6050000}"/>
    <cellStyle name="Hyperlink 316" xfId="2252" xr:uid="{00000000-0005-0000-0000-0000C7050000}"/>
    <cellStyle name="Hyperlink 317" xfId="2253" xr:uid="{00000000-0005-0000-0000-0000C8050000}"/>
    <cellStyle name="Hyperlink 318" xfId="2254" xr:uid="{00000000-0005-0000-0000-0000C9050000}"/>
    <cellStyle name="Hyperlink 319" xfId="2255" xr:uid="{00000000-0005-0000-0000-0000CA050000}"/>
    <cellStyle name="Hyperlink 32" xfId="2256" xr:uid="{00000000-0005-0000-0000-0000CB050000}"/>
    <cellStyle name="Hyperlink 320" xfId="2257" xr:uid="{00000000-0005-0000-0000-0000CC050000}"/>
    <cellStyle name="Hyperlink 321" xfId="2258" xr:uid="{00000000-0005-0000-0000-0000CD050000}"/>
    <cellStyle name="Hyperlink 322" xfId="2259" xr:uid="{00000000-0005-0000-0000-0000CE050000}"/>
    <cellStyle name="Hyperlink 323" xfId="2260" xr:uid="{00000000-0005-0000-0000-0000CF050000}"/>
    <cellStyle name="Hyperlink 324" xfId="2261" xr:uid="{00000000-0005-0000-0000-0000D0050000}"/>
    <cellStyle name="Hyperlink 325" xfId="2262" xr:uid="{00000000-0005-0000-0000-0000D1050000}"/>
    <cellStyle name="Hyperlink 326" xfId="2263" xr:uid="{00000000-0005-0000-0000-0000D2050000}"/>
    <cellStyle name="Hyperlink 327" xfId="2264" xr:uid="{00000000-0005-0000-0000-0000D3050000}"/>
    <cellStyle name="Hyperlink 328" xfId="2265" xr:uid="{00000000-0005-0000-0000-0000D4050000}"/>
    <cellStyle name="Hyperlink 329" xfId="2266" xr:uid="{00000000-0005-0000-0000-0000D5050000}"/>
    <cellStyle name="Hyperlink 33" xfId="2267" xr:uid="{00000000-0005-0000-0000-0000D6050000}"/>
    <cellStyle name="Hyperlink 330" xfId="2268" xr:uid="{00000000-0005-0000-0000-0000D7050000}"/>
    <cellStyle name="Hyperlink 331" xfId="2269" xr:uid="{00000000-0005-0000-0000-0000D8050000}"/>
    <cellStyle name="Hyperlink 332" xfId="2270" xr:uid="{00000000-0005-0000-0000-0000D9050000}"/>
    <cellStyle name="Hyperlink 333" xfId="2271" xr:uid="{00000000-0005-0000-0000-0000DA050000}"/>
    <cellStyle name="Hyperlink 334" xfId="2272" xr:uid="{00000000-0005-0000-0000-0000DB050000}"/>
    <cellStyle name="Hyperlink 335" xfId="2273" xr:uid="{00000000-0005-0000-0000-0000DC050000}"/>
    <cellStyle name="Hyperlink 336" xfId="2274" xr:uid="{00000000-0005-0000-0000-0000DD050000}"/>
    <cellStyle name="Hyperlink 337" xfId="2275" xr:uid="{00000000-0005-0000-0000-0000DE050000}"/>
    <cellStyle name="Hyperlink 338" xfId="2276" xr:uid="{00000000-0005-0000-0000-0000DF050000}"/>
    <cellStyle name="Hyperlink 339" xfId="2277" xr:uid="{00000000-0005-0000-0000-0000E0050000}"/>
    <cellStyle name="Hyperlink 34" xfId="2278" xr:uid="{00000000-0005-0000-0000-0000E1050000}"/>
    <cellStyle name="Hyperlink 340" xfId="2279" xr:uid="{00000000-0005-0000-0000-0000E2050000}"/>
    <cellStyle name="Hyperlink 341" xfId="2280" xr:uid="{00000000-0005-0000-0000-0000E3050000}"/>
    <cellStyle name="Hyperlink 342" xfId="2281" xr:uid="{00000000-0005-0000-0000-0000E4050000}"/>
    <cellStyle name="Hyperlink 343" xfId="2282" xr:uid="{00000000-0005-0000-0000-0000E5050000}"/>
    <cellStyle name="Hyperlink 344" xfId="2283" xr:uid="{00000000-0005-0000-0000-0000E6050000}"/>
    <cellStyle name="Hyperlink 345" xfId="2284" xr:uid="{00000000-0005-0000-0000-0000E7050000}"/>
    <cellStyle name="Hyperlink 346" xfId="2285" xr:uid="{00000000-0005-0000-0000-0000E8050000}"/>
    <cellStyle name="Hyperlink 347" xfId="2286" xr:uid="{00000000-0005-0000-0000-0000E9050000}"/>
    <cellStyle name="Hyperlink 348" xfId="2287" xr:uid="{00000000-0005-0000-0000-0000EA050000}"/>
    <cellStyle name="Hyperlink 349" xfId="2288" xr:uid="{00000000-0005-0000-0000-0000EB050000}"/>
    <cellStyle name="Hyperlink 35" xfId="2289" xr:uid="{00000000-0005-0000-0000-0000EC050000}"/>
    <cellStyle name="Hyperlink 350" xfId="2290" xr:uid="{00000000-0005-0000-0000-0000ED050000}"/>
    <cellStyle name="Hyperlink 351" xfId="2291" xr:uid="{00000000-0005-0000-0000-0000EE050000}"/>
    <cellStyle name="Hyperlink 352" xfId="2292" xr:uid="{00000000-0005-0000-0000-0000EF050000}"/>
    <cellStyle name="Hyperlink 353" xfId="2293" xr:uid="{00000000-0005-0000-0000-0000F0050000}"/>
    <cellStyle name="Hyperlink 354" xfId="2294" xr:uid="{00000000-0005-0000-0000-0000F1050000}"/>
    <cellStyle name="Hyperlink 355" xfId="2295" xr:uid="{00000000-0005-0000-0000-0000F2050000}"/>
    <cellStyle name="Hyperlink 356" xfId="2296" xr:uid="{00000000-0005-0000-0000-0000F3050000}"/>
    <cellStyle name="Hyperlink 357" xfId="2297" xr:uid="{00000000-0005-0000-0000-0000F4050000}"/>
    <cellStyle name="Hyperlink 358" xfId="2298" xr:uid="{00000000-0005-0000-0000-0000F5050000}"/>
    <cellStyle name="Hyperlink 359" xfId="2299" xr:uid="{00000000-0005-0000-0000-0000F6050000}"/>
    <cellStyle name="Hyperlink 36" xfId="2300" xr:uid="{00000000-0005-0000-0000-0000F7050000}"/>
    <cellStyle name="Hyperlink 360" xfId="2301" xr:uid="{00000000-0005-0000-0000-0000F8050000}"/>
    <cellStyle name="Hyperlink 361" xfId="2302" xr:uid="{00000000-0005-0000-0000-0000F9050000}"/>
    <cellStyle name="Hyperlink 362" xfId="2303" xr:uid="{00000000-0005-0000-0000-0000FA050000}"/>
    <cellStyle name="Hyperlink 363" xfId="2304" xr:uid="{00000000-0005-0000-0000-0000FB050000}"/>
    <cellStyle name="Hyperlink 364" xfId="2305" xr:uid="{00000000-0005-0000-0000-0000FC050000}"/>
    <cellStyle name="Hyperlink 365" xfId="2306" xr:uid="{00000000-0005-0000-0000-0000FD050000}"/>
    <cellStyle name="Hyperlink 366" xfId="2307" xr:uid="{00000000-0005-0000-0000-0000FE050000}"/>
    <cellStyle name="Hyperlink 367" xfId="2308" xr:uid="{00000000-0005-0000-0000-0000FF050000}"/>
    <cellStyle name="Hyperlink 368" xfId="2309" xr:uid="{00000000-0005-0000-0000-000000060000}"/>
    <cellStyle name="Hyperlink 369" xfId="2310" xr:uid="{00000000-0005-0000-0000-000001060000}"/>
    <cellStyle name="Hyperlink 37" xfId="2311" xr:uid="{00000000-0005-0000-0000-000002060000}"/>
    <cellStyle name="Hyperlink 370" xfId="2312" xr:uid="{00000000-0005-0000-0000-000003060000}"/>
    <cellStyle name="Hyperlink 371" xfId="2313" xr:uid="{00000000-0005-0000-0000-000004060000}"/>
    <cellStyle name="Hyperlink 372" xfId="2314" xr:uid="{00000000-0005-0000-0000-000005060000}"/>
    <cellStyle name="Hyperlink 373" xfId="2315" xr:uid="{00000000-0005-0000-0000-000006060000}"/>
    <cellStyle name="Hyperlink 374" xfId="2316" xr:uid="{00000000-0005-0000-0000-000007060000}"/>
    <cellStyle name="Hyperlink 375" xfId="2317" xr:uid="{00000000-0005-0000-0000-000008060000}"/>
    <cellStyle name="Hyperlink 376" xfId="2318" xr:uid="{00000000-0005-0000-0000-000009060000}"/>
    <cellStyle name="Hyperlink 377" xfId="2319" xr:uid="{00000000-0005-0000-0000-00000A060000}"/>
    <cellStyle name="Hyperlink 378" xfId="2320" xr:uid="{00000000-0005-0000-0000-00000B060000}"/>
    <cellStyle name="Hyperlink 379" xfId="2321" xr:uid="{00000000-0005-0000-0000-00000C060000}"/>
    <cellStyle name="Hyperlink 38" xfId="2322" xr:uid="{00000000-0005-0000-0000-00000D060000}"/>
    <cellStyle name="Hyperlink 380" xfId="2323" xr:uid="{00000000-0005-0000-0000-00000E060000}"/>
    <cellStyle name="Hyperlink 381" xfId="2324" xr:uid="{00000000-0005-0000-0000-00000F060000}"/>
    <cellStyle name="Hyperlink 382" xfId="2325" xr:uid="{00000000-0005-0000-0000-000010060000}"/>
    <cellStyle name="Hyperlink 383" xfId="2326" xr:uid="{00000000-0005-0000-0000-000011060000}"/>
    <cellStyle name="Hyperlink 384" xfId="2327" xr:uid="{00000000-0005-0000-0000-000012060000}"/>
    <cellStyle name="Hyperlink 385" xfId="2328" xr:uid="{00000000-0005-0000-0000-000013060000}"/>
    <cellStyle name="Hyperlink 386" xfId="2329" xr:uid="{00000000-0005-0000-0000-000014060000}"/>
    <cellStyle name="Hyperlink 387" xfId="2330" xr:uid="{00000000-0005-0000-0000-000015060000}"/>
    <cellStyle name="Hyperlink 388" xfId="2331" xr:uid="{00000000-0005-0000-0000-000016060000}"/>
    <cellStyle name="Hyperlink 389" xfId="2332" xr:uid="{00000000-0005-0000-0000-000017060000}"/>
    <cellStyle name="Hyperlink 39" xfId="2333" xr:uid="{00000000-0005-0000-0000-000018060000}"/>
    <cellStyle name="Hyperlink 390" xfId="2334" xr:uid="{00000000-0005-0000-0000-000019060000}"/>
    <cellStyle name="Hyperlink 391" xfId="2335" xr:uid="{00000000-0005-0000-0000-00001A060000}"/>
    <cellStyle name="Hyperlink 392" xfId="2336" xr:uid="{00000000-0005-0000-0000-00001B060000}"/>
    <cellStyle name="Hyperlink 393" xfId="2337" xr:uid="{00000000-0005-0000-0000-00001C060000}"/>
    <cellStyle name="Hyperlink 394" xfId="2338" xr:uid="{00000000-0005-0000-0000-00001D060000}"/>
    <cellStyle name="Hyperlink 395" xfId="2339" xr:uid="{00000000-0005-0000-0000-00001E060000}"/>
    <cellStyle name="Hyperlink 396" xfId="2340" xr:uid="{00000000-0005-0000-0000-00001F060000}"/>
    <cellStyle name="Hyperlink 397" xfId="2341" xr:uid="{00000000-0005-0000-0000-000020060000}"/>
    <cellStyle name="Hyperlink 398" xfId="2342" xr:uid="{00000000-0005-0000-0000-000021060000}"/>
    <cellStyle name="Hyperlink 399" xfId="2343" xr:uid="{00000000-0005-0000-0000-000022060000}"/>
    <cellStyle name="Hyperlink 4" xfId="2344" xr:uid="{00000000-0005-0000-0000-000023060000}"/>
    <cellStyle name="Hyperlink 40" xfId="2345" xr:uid="{00000000-0005-0000-0000-000024060000}"/>
    <cellStyle name="Hyperlink 400" xfId="2346" xr:uid="{00000000-0005-0000-0000-000025060000}"/>
    <cellStyle name="Hyperlink 401" xfId="2347" xr:uid="{00000000-0005-0000-0000-000026060000}"/>
    <cellStyle name="Hyperlink 402" xfId="2348" xr:uid="{00000000-0005-0000-0000-000027060000}"/>
    <cellStyle name="Hyperlink 403" xfId="2349" xr:uid="{00000000-0005-0000-0000-000028060000}"/>
    <cellStyle name="Hyperlink 404" xfId="2350" xr:uid="{00000000-0005-0000-0000-000029060000}"/>
    <cellStyle name="Hyperlink 405" xfId="2351" xr:uid="{00000000-0005-0000-0000-00002A060000}"/>
    <cellStyle name="Hyperlink 406" xfId="2352" xr:uid="{00000000-0005-0000-0000-00002B060000}"/>
    <cellStyle name="Hyperlink 407" xfId="2353" xr:uid="{00000000-0005-0000-0000-00002C060000}"/>
    <cellStyle name="Hyperlink 408" xfId="2354" xr:uid="{00000000-0005-0000-0000-00002D060000}"/>
    <cellStyle name="Hyperlink 409" xfId="2355" xr:uid="{00000000-0005-0000-0000-00002E060000}"/>
    <cellStyle name="Hyperlink 41" xfId="2356" xr:uid="{00000000-0005-0000-0000-00002F060000}"/>
    <cellStyle name="Hyperlink 410" xfId="2357" xr:uid="{00000000-0005-0000-0000-000030060000}"/>
    <cellStyle name="Hyperlink 411" xfId="2358" xr:uid="{00000000-0005-0000-0000-000031060000}"/>
    <cellStyle name="Hyperlink 412" xfId="2359" xr:uid="{00000000-0005-0000-0000-000032060000}"/>
    <cellStyle name="Hyperlink 413" xfId="2360" xr:uid="{00000000-0005-0000-0000-000033060000}"/>
    <cellStyle name="Hyperlink 414" xfId="2361" xr:uid="{00000000-0005-0000-0000-000034060000}"/>
    <cellStyle name="Hyperlink 415" xfId="2362" xr:uid="{00000000-0005-0000-0000-000035060000}"/>
    <cellStyle name="Hyperlink 416" xfId="2363" xr:uid="{00000000-0005-0000-0000-000036060000}"/>
    <cellStyle name="Hyperlink 417" xfId="2364" xr:uid="{00000000-0005-0000-0000-000037060000}"/>
    <cellStyle name="Hyperlink 418" xfId="2365" xr:uid="{00000000-0005-0000-0000-000038060000}"/>
    <cellStyle name="Hyperlink 419" xfId="2366" xr:uid="{00000000-0005-0000-0000-000039060000}"/>
    <cellStyle name="Hyperlink 42" xfId="2367" xr:uid="{00000000-0005-0000-0000-00003A060000}"/>
    <cellStyle name="Hyperlink 420" xfId="2368" xr:uid="{00000000-0005-0000-0000-00003B060000}"/>
    <cellStyle name="Hyperlink 421" xfId="2369" xr:uid="{00000000-0005-0000-0000-00003C060000}"/>
    <cellStyle name="Hyperlink 422" xfId="2370" xr:uid="{00000000-0005-0000-0000-00003D060000}"/>
    <cellStyle name="Hyperlink 423" xfId="2371" xr:uid="{00000000-0005-0000-0000-00003E060000}"/>
    <cellStyle name="Hyperlink 424" xfId="2372" xr:uid="{00000000-0005-0000-0000-00003F060000}"/>
    <cellStyle name="Hyperlink 425" xfId="2373" xr:uid="{00000000-0005-0000-0000-000040060000}"/>
    <cellStyle name="Hyperlink 426" xfId="2374" xr:uid="{00000000-0005-0000-0000-000041060000}"/>
    <cellStyle name="Hyperlink 427" xfId="2375" xr:uid="{00000000-0005-0000-0000-000042060000}"/>
    <cellStyle name="Hyperlink 428" xfId="2376" xr:uid="{00000000-0005-0000-0000-000043060000}"/>
    <cellStyle name="Hyperlink 429" xfId="2377" xr:uid="{00000000-0005-0000-0000-000044060000}"/>
    <cellStyle name="Hyperlink 43" xfId="2378" xr:uid="{00000000-0005-0000-0000-000045060000}"/>
    <cellStyle name="Hyperlink 430" xfId="2379" xr:uid="{00000000-0005-0000-0000-000046060000}"/>
    <cellStyle name="Hyperlink 431" xfId="2380" xr:uid="{00000000-0005-0000-0000-000047060000}"/>
    <cellStyle name="Hyperlink 432" xfId="2381" xr:uid="{00000000-0005-0000-0000-000048060000}"/>
    <cellStyle name="Hyperlink 433" xfId="2382" xr:uid="{00000000-0005-0000-0000-000049060000}"/>
    <cellStyle name="Hyperlink 434" xfId="2383" xr:uid="{00000000-0005-0000-0000-00004A060000}"/>
    <cellStyle name="Hyperlink 435" xfId="2384" xr:uid="{00000000-0005-0000-0000-00004B060000}"/>
    <cellStyle name="Hyperlink 436" xfId="2385" xr:uid="{00000000-0005-0000-0000-00004C060000}"/>
    <cellStyle name="Hyperlink 437" xfId="2386" xr:uid="{00000000-0005-0000-0000-00004D060000}"/>
    <cellStyle name="Hyperlink 438" xfId="2387" xr:uid="{00000000-0005-0000-0000-00004E060000}"/>
    <cellStyle name="Hyperlink 439" xfId="2388" xr:uid="{00000000-0005-0000-0000-00004F060000}"/>
    <cellStyle name="Hyperlink 44" xfId="2389" xr:uid="{00000000-0005-0000-0000-000050060000}"/>
    <cellStyle name="Hyperlink 440" xfId="2390" xr:uid="{00000000-0005-0000-0000-000051060000}"/>
    <cellStyle name="Hyperlink 441" xfId="2391" xr:uid="{00000000-0005-0000-0000-000052060000}"/>
    <cellStyle name="Hyperlink 442" xfId="2392" xr:uid="{00000000-0005-0000-0000-000053060000}"/>
    <cellStyle name="Hyperlink 443" xfId="2393" xr:uid="{00000000-0005-0000-0000-000054060000}"/>
    <cellStyle name="Hyperlink 444" xfId="2394" xr:uid="{00000000-0005-0000-0000-000055060000}"/>
    <cellStyle name="Hyperlink 445" xfId="2395" xr:uid="{00000000-0005-0000-0000-000056060000}"/>
    <cellStyle name="Hyperlink 446" xfId="2396" xr:uid="{00000000-0005-0000-0000-000057060000}"/>
    <cellStyle name="Hyperlink 447" xfId="2397" xr:uid="{00000000-0005-0000-0000-000058060000}"/>
    <cellStyle name="Hyperlink 448" xfId="2398" xr:uid="{00000000-0005-0000-0000-000059060000}"/>
    <cellStyle name="Hyperlink 449" xfId="2399" xr:uid="{00000000-0005-0000-0000-00005A060000}"/>
    <cellStyle name="Hyperlink 45" xfId="2400" xr:uid="{00000000-0005-0000-0000-00005B060000}"/>
    <cellStyle name="Hyperlink 450" xfId="2401" xr:uid="{00000000-0005-0000-0000-00005C060000}"/>
    <cellStyle name="Hyperlink 451" xfId="2402" xr:uid="{00000000-0005-0000-0000-00005D060000}"/>
    <cellStyle name="Hyperlink 452" xfId="2403" xr:uid="{00000000-0005-0000-0000-00005E060000}"/>
    <cellStyle name="Hyperlink 453" xfId="2404" xr:uid="{00000000-0005-0000-0000-00005F060000}"/>
    <cellStyle name="Hyperlink 454" xfId="2405" xr:uid="{00000000-0005-0000-0000-000060060000}"/>
    <cellStyle name="Hyperlink 455" xfId="2406" xr:uid="{00000000-0005-0000-0000-000061060000}"/>
    <cellStyle name="Hyperlink 456" xfId="2407" xr:uid="{00000000-0005-0000-0000-000062060000}"/>
    <cellStyle name="Hyperlink 457" xfId="2408" xr:uid="{00000000-0005-0000-0000-000063060000}"/>
    <cellStyle name="Hyperlink 458" xfId="2409" xr:uid="{00000000-0005-0000-0000-000064060000}"/>
    <cellStyle name="Hyperlink 459" xfId="2410" xr:uid="{00000000-0005-0000-0000-000065060000}"/>
    <cellStyle name="Hyperlink 46" xfId="2411" xr:uid="{00000000-0005-0000-0000-000066060000}"/>
    <cellStyle name="Hyperlink 460" xfId="2412" xr:uid="{00000000-0005-0000-0000-000067060000}"/>
    <cellStyle name="Hyperlink 461" xfId="2413" xr:uid="{00000000-0005-0000-0000-000068060000}"/>
    <cellStyle name="Hyperlink 462" xfId="2414" xr:uid="{00000000-0005-0000-0000-000069060000}"/>
    <cellStyle name="Hyperlink 463" xfId="2415" xr:uid="{00000000-0005-0000-0000-00006A060000}"/>
    <cellStyle name="Hyperlink 464" xfId="2416" xr:uid="{00000000-0005-0000-0000-00006B060000}"/>
    <cellStyle name="Hyperlink 465" xfId="2417" xr:uid="{00000000-0005-0000-0000-00006C060000}"/>
    <cellStyle name="Hyperlink 466" xfId="2418" xr:uid="{00000000-0005-0000-0000-00006D060000}"/>
    <cellStyle name="Hyperlink 467" xfId="2419" xr:uid="{00000000-0005-0000-0000-00006E060000}"/>
    <cellStyle name="Hyperlink 468" xfId="2420" xr:uid="{00000000-0005-0000-0000-00006F060000}"/>
    <cellStyle name="Hyperlink 469" xfId="2421" xr:uid="{00000000-0005-0000-0000-000070060000}"/>
    <cellStyle name="Hyperlink 47" xfId="2422" xr:uid="{00000000-0005-0000-0000-000071060000}"/>
    <cellStyle name="Hyperlink 470" xfId="2423" xr:uid="{00000000-0005-0000-0000-000072060000}"/>
    <cellStyle name="Hyperlink 471" xfId="2424" xr:uid="{00000000-0005-0000-0000-000073060000}"/>
    <cellStyle name="Hyperlink 472" xfId="2425" xr:uid="{00000000-0005-0000-0000-000074060000}"/>
    <cellStyle name="Hyperlink 473" xfId="2426" xr:uid="{00000000-0005-0000-0000-000075060000}"/>
    <cellStyle name="Hyperlink 474" xfId="2427" xr:uid="{00000000-0005-0000-0000-000076060000}"/>
    <cellStyle name="Hyperlink 475" xfId="2428" xr:uid="{00000000-0005-0000-0000-000077060000}"/>
    <cellStyle name="Hyperlink 476" xfId="2429" xr:uid="{00000000-0005-0000-0000-000078060000}"/>
    <cellStyle name="Hyperlink 477" xfId="2430" xr:uid="{00000000-0005-0000-0000-000079060000}"/>
    <cellStyle name="Hyperlink 478" xfId="2431" xr:uid="{00000000-0005-0000-0000-00007A060000}"/>
    <cellStyle name="Hyperlink 479" xfId="2432" xr:uid="{00000000-0005-0000-0000-00007B060000}"/>
    <cellStyle name="Hyperlink 48" xfId="2433" xr:uid="{00000000-0005-0000-0000-00007C060000}"/>
    <cellStyle name="Hyperlink 480" xfId="2434" xr:uid="{00000000-0005-0000-0000-00007D060000}"/>
    <cellStyle name="Hyperlink 481" xfId="2435" xr:uid="{00000000-0005-0000-0000-00007E060000}"/>
    <cellStyle name="Hyperlink 482" xfId="2436" xr:uid="{00000000-0005-0000-0000-00007F060000}"/>
    <cellStyle name="Hyperlink 483" xfId="2437" xr:uid="{00000000-0005-0000-0000-000080060000}"/>
    <cellStyle name="Hyperlink 484" xfId="2438" xr:uid="{00000000-0005-0000-0000-000081060000}"/>
    <cellStyle name="Hyperlink 485" xfId="2439" xr:uid="{00000000-0005-0000-0000-000082060000}"/>
    <cellStyle name="Hyperlink 486" xfId="2440" xr:uid="{00000000-0005-0000-0000-000083060000}"/>
    <cellStyle name="Hyperlink 487" xfId="2441" xr:uid="{00000000-0005-0000-0000-000084060000}"/>
    <cellStyle name="Hyperlink 488" xfId="2442" xr:uid="{00000000-0005-0000-0000-000085060000}"/>
    <cellStyle name="Hyperlink 489" xfId="2443" xr:uid="{00000000-0005-0000-0000-000086060000}"/>
    <cellStyle name="Hyperlink 49" xfId="2444" xr:uid="{00000000-0005-0000-0000-000087060000}"/>
    <cellStyle name="Hyperlink 490" xfId="2445" xr:uid="{00000000-0005-0000-0000-000088060000}"/>
    <cellStyle name="Hyperlink 491" xfId="2446" xr:uid="{00000000-0005-0000-0000-000089060000}"/>
    <cellStyle name="Hyperlink 492" xfId="2447" xr:uid="{00000000-0005-0000-0000-00008A060000}"/>
    <cellStyle name="Hyperlink 493" xfId="2448" xr:uid="{00000000-0005-0000-0000-00008B060000}"/>
    <cellStyle name="Hyperlink 494" xfId="2449" xr:uid="{00000000-0005-0000-0000-00008C060000}"/>
    <cellStyle name="Hyperlink 495" xfId="2450" xr:uid="{00000000-0005-0000-0000-00008D060000}"/>
    <cellStyle name="Hyperlink 496" xfId="2451" xr:uid="{00000000-0005-0000-0000-00008E060000}"/>
    <cellStyle name="Hyperlink 497" xfId="2452" xr:uid="{00000000-0005-0000-0000-00008F060000}"/>
    <cellStyle name="Hyperlink 498" xfId="2453" xr:uid="{00000000-0005-0000-0000-000090060000}"/>
    <cellStyle name="Hyperlink 499" xfId="2454" xr:uid="{00000000-0005-0000-0000-000091060000}"/>
    <cellStyle name="Hyperlink 5" xfId="2455" xr:uid="{00000000-0005-0000-0000-000092060000}"/>
    <cellStyle name="Hyperlink 50" xfId="2456" xr:uid="{00000000-0005-0000-0000-000093060000}"/>
    <cellStyle name="Hyperlink 500" xfId="2457" xr:uid="{00000000-0005-0000-0000-000094060000}"/>
    <cellStyle name="Hyperlink 501" xfId="2458" xr:uid="{00000000-0005-0000-0000-000095060000}"/>
    <cellStyle name="Hyperlink 502" xfId="2459" xr:uid="{00000000-0005-0000-0000-000096060000}"/>
    <cellStyle name="Hyperlink 503" xfId="2460" xr:uid="{00000000-0005-0000-0000-000097060000}"/>
    <cellStyle name="Hyperlink 504" xfId="2461" xr:uid="{00000000-0005-0000-0000-000098060000}"/>
    <cellStyle name="Hyperlink 505" xfId="2462" xr:uid="{00000000-0005-0000-0000-000099060000}"/>
    <cellStyle name="Hyperlink 506" xfId="2463" xr:uid="{00000000-0005-0000-0000-00009A060000}"/>
    <cellStyle name="Hyperlink 507" xfId="2464" xr:uid="{00000000-0005-0000-0000-00009B060000}"/>
    <cellStyle name="Hyperlink 508" xfId="2465" xr:uid="{00000000-0005-0000-0000-00009C060000}"/>
    <cellStyle name="Hyperlink 509" xfId="2466" xr:uid="{00000000-0005-0000-0000-00009D060000}"/>
    <cellStyle name="Hyperlink 51" xfId="2467" xr:uid="{00000000-0005-0000-0000-00009E060000}"/>
    <cellStyle name="Hyperlink 510" xfId="2468" xr:uid="{00000000-0005-0000-0000-00009F060000}"/>
    <cellStyle name="Hyperlink 511" xfId="2469" xr:uid="{00000000-0005-0000-0000-0000A0060000}"/>
    <cellStyle name="Hyperlink 512" xfId="2470" xr:uid="{00000000-0005-0000-0000-0000A1060000}"/>
    <cellStyle name="Hyperlink 513" xfId="2471" xr:uid="{00000000-0005-0000-0000-0000A2060000}"/>
    <cellStyle name="Hyperlink 514" xfId="2472" xr:uid="{00000000-0005-0000-0000-0000A3060000}"/>
    <cellStyle name="Hyperlink 515" xfId="2473" xr:uid="{00000000-0005-0000-0000-0000A4060000}"/>
    <cellStyle name="Hyperlink 516" xfId="2474" xr:uid="{00000000-0005-0000-0000-0000A5060000}"/>
    <cellStyle name="Hyperlink 517" xfId="2475" xr:uid="{00000000-0005-0000-0000-0000A6060000}"/>
    <cellStyle name="Hyperlink 518" xfId="2476" xr:uid="{00000000-0005-0000-0000-0000A7060000}"/>
    <cellStyle name="Hyperlink 519" xfId="2477" xr:uid="{00000000-0005-0000-0000-0000A8060000}"/>
    <cellStyle name="Hyperlink 52" xfId="2478" xr:uid="{00000000-0005-0000-0000-0000A9060000}"/>
    <cellStyle name="Hyperlink 520" xfId="2479" xr:uid="{00000000-0005-0000-0000-0000AA060000}"/>
    <cellStyle name="Hyperlink 521" xfId="2480" xr:uid="{00000000-0005-0000-0000-0000AB060000}"/>
    <cellStyle name="Hyperlink 522" xfId="2481" xr:uid="{00000000-0005-0000-0000-0000AC060000}"/>
    <cellStyle name="Hyperlink 523" xfId="2482" xr:uid="{00000000-0005-0000-0000-0000AD060000}"/>
    <cellStyle name="Hyperlink 524" xfId="2483" xr:uid="{00000000-0005-0000-0000-0000AE060000}"/>
    <cellStyle name="Hyperlink 525" xfId="2484" xr:uid="{00000000-0005-0000-0000-0000AF060000}"/>
    <cellStyle name="Hyperlink 526" xfId="2485" xr:uid="{00000000-0005-0000-0000-0000B0060000}"/>
    <cellStyle name="Hyperlink 527" xfId="2486" xr:uid="{00000000-0005-0000-0000-0000B1060000}"/>
    <cellStyle name="Hyperlink 528" xfId="2487" xr:uid="{00000000-0005-0000-0000-0000B2060000}"/>
    <cellStyle name="Hyperlink 529" xfId="2488" xr:uid="{00000000-0005-0000-0000-0000B3060000}"/>
    <cellStyle name="Hyperlink 53" xfId="2489" xr:uid="{00000000-0005-0000-0000-0000B4060000}"/>
    <cellStyle name="Hyperlink 530" xfId="2490" xr:uid="{00000000-0005-0000-0000-0000B5060000}"/>
    <cellStyle name="Hyperlink 531" xfId="2491" xr:uid="{00000000-0005-0000-0000-0000B6060000}"/>
    <cellStyle name="Hyperlink 532" xfId="2492" xr:uid="{00000000-0005-0000-0000-0000B7060000}"/>
    <cellStyle name="Hyperlink 533" xfId="2493" xr:uid="{00000000-0005-0000-0000-0000B8060000}"/>
    <cellStyle name="Hyperlink 54" xfId="2494" xr:uid="{00000000-0005-0000-0000-0000B9060000}"/>
    <cellStyle name="Hyperlink 55" xfId="2495" xr:uid="{00000000-0005-0000-0000-0000BA060000}"/>
    <cellStyle name="Hyperlink 56" xfId="2496" xr:uid="{00000000-0005-0000-0000-0000BB060000}"/>
    <cellStyle name="Hyperlink 57" xfId="2497" xr:uid="{00000000-0005-0000-0000-0000BC060000}"/>
    <cellStyle name="Hyperlink 58" xfId="2498" xr:uid="{00000000-0005-0000-0000-0000BD060000}"/>
    <cellStyle name="Hyperlink 59" xfId="2499" xr:uid="{00000000-0005-0000-0000-0000BE060000}"/>
    <cellStyle name="Hyperlink 6" xfId="2500" xr:uid="{00000000-0005-0000-0000-0000BF060000}"/>
    <cellStyle name="Hyperlink 60" xfId="2501" xr:uid="{00000000-0005-0000-0000-0000C0060000}"/>
    <cellStyle name="Hyperlink 61" xfId="2502" xr:uid="{00000000-0005-0000-0000-0000C1060000}"/>
    <cellStyle name="Hyperlink 62" xfId="2503" xr:uid="{00000000-0005-0000-0000-0000C2060000}"/>
    <cellStyle name="Hyperlink 63" xfId="2504" xr:uid="{00000000-0005-0000-0000-0000C3060000}"/>
    <cellStyle name="Hyperlink 64" xfId="2505" xr:uid="{00000000-0005-0000-0000-0000C4060000}"/>
    <cellStyle name="Hyperlink 65" xfId="2506" xr:uid="{00000000-0005-0000-0000-0000C5060000}"/>
    <cellStyle name="Hyperlink 66" xfId="2507" xr:uid="{00000000-0005-0000-0000-0000C6060000}"/>
    <cellStyle name="Hyperlink 67" xfId="2508" xr:uid="{00000000-0005-0000-0000-0000C7060000}"/>
    <cellStyle name="Hyperlink 68" xfId="2509" xr:uid="{00000000-0005-0000-0000-0000C8060000}"/>
    <cellStyle name="Hyperlink 69" xfId="2510" xr:uid="{00000000-0005-0000-0000-0000C9060000}"/>
    <cellStyle name="Hyperlink 7" xfId="2511" xr:uid="{00000000-0005-0000-0000-0000CA060000}"/>
    <cellStyle name="Hyperlink 70" xfId="2512" xr:uid="{00000000-0005-0000-0000-0000CB060000}"/>
    <cellStyle name="Hyperlink 71" xfId="2513" xr:uid="{00000000-0005-0000-0000-0000CC060000}"/>
    <cellStyle name="Hyperlink 72" xfId="2514" xr:uid="{00000000-0005-0000-0000-0000CD060000}"/>
    <cellStyle name="Hyperlink 73" xfId="2515" xr:uid="{00000000-0005-0000-0000-0000CE060000}"/>
    <cellStyle name="Hyperlink 74" xfId="2516" xr:uid="{00000000-0005-0000-0000-0000CF060000}"/>
    <cellStyle name="Hyperlink 75" xfId="2517" xr:uid="{00000000-0005-0000-0000-0000D0060000}"/>
    <cellStyle name="Hyperlink 76" xfId="2518" xr:uid="{00000000-0005-0000-0000-0000D1060000}"/>
    <cellStyle name="Hyperlink 77" xfId="2519" xr:uid="{00000000-0005-0000-0000-0000D2060000}"/>
    <cellStyle name="Hyperlink 78" xfId="2520" xr:uid="{00000000-0005-0000-0000-0000D3060000}"/>
    <cellStyle name="Hyperlink 79" xfId="2521" xr:uid="{00000000-0005-0000-0000-0000D4060000}"/>
    <cellStyle name="Hyperlink 8" xfId="2522" xr:uid="{00000000-0005-0000-0000-0000D5060000}"/>
    <cellStyle name="Hyperlink 80" xfId="2523" xr:uid="{00000000-0005-0000-0000-0000D6060000}"/>
    <cellStyle name="Hyperlink 81" xfId="2524" xr:uid="{00000000-0005-0000-0000-0000D7060000}"/>
    <cellStyle name="Hyperlink 82" xfId="2525" xr:uid="{00000000-0005-0000-0000-0000D8060000}"/>
    <cellStyle name="Hyperlink 83" xfId="2526" xr:uid="{00000000-0005-0000-0000-0000D9060000}"/>
    <cellStyle name="Hyperlink 84" xfId="2527" xr:uid="{00000000-0005-0000-0000-0000DA060000}"/>
    <cellStyle name="Hyperlink 85" xfId="2528" xr:uid="{00000000-0005-0000-0000-0000DB060000}"/>
    <cellStyle name="Hyperlink 86" xfId="2529" xr:uid="{00000000-0005-0000-0000-0000DC060000}"/>
    <cellStyle name="Hyperlink 87" xfId="2530" xr:uid="{00000000-0005-0000-0000-0000DD060000}"/>
    <cellStyle name="Hyperlink 88" xfId="2531" xr:uid="{00000000-0005-0000-0000-0000DE060000}"/>
    <cellStyle name="Hyperlink 89" xfId="2532" xr:uid="{00000000-0005-0000-0000-0000DF060000}"/>
    <cellStyle name="Hyperlink 9" xfId="2533" xr:uid="{00000000-0005-0000-0000-0000E0060000}"/>
    <cellStyle name="Hyperlink 90" xfId="2534" xr:uid="{00000000-0005-0000-0000-0000E1060000}"/>
    <cellStyle name="Hyperlink 91" xfId="2535" xr:uid="{00000000-0005-0000-0000-0000E2060000}"/>
    <cellStyle name="Hyperlink 92" xfId="2536" xr:uid="{00000000-0005-0000-0000-0000E3060000}"/>
    <cellStyle name="Hyperlink 93" xfId="2537" xr:uid="{00000000-0005-0000-0000-0000E4060000}"/>
    <cellStyle name="Hyperlink 94" xfId="2538" xr:uid="{00000000-0005-0000-0000-0000E5060000}"/>
    <cellStyle name="Hyperlink 95" xfId="2539" xr:uid="{00000000-0005-0000-0000-0000E6060000}"/>
    <cellStyle name="Hyperlink 96" xfId="2540" xr:uid="{00000000-0005-0000-0000-0000E7060000}"/>
    <cellStyle name="Hyperlink 97" xfId="2541" xr:uid="{00000000-0005-0000-0000-0000E8060000}"/>
    <cellStyle name="Hyperlink 98" xfId="2542" xr:uid="{00000000-0005-0000-0000-0000E9060000}"/>
    <cellStyle name="Hyperlink 99" xfId="2543" xr:uid="{00000000-0005-0000-0000-0000EA060000}"/>
    <cellStyle name="Input" xfId="1030" xr:uid="{00000000-0005-0000-0000-0000EB060000}"/>
    <cellStyle name="Input [yellow]" xfId="1031" xr:uid="{00000000-0005-0000-0000-0000EC060000}"/>
    <cellStyle name="Input 2" xfId="1032" xr:uid="{00000000-0005-0000-0000-0000ED060000}"/>
    <cellStyle name="Input 3" xfId="1033" xr:uid="{00000000-0005-0000-0000-0000EE060000}"/>
    <cellStyle name="Input 4" xfId="1034" xr:uid="{00000000-0005-0000-0000-0000EF060000}"/>
    <cellStyle name="Input 5" xfId="1035" xr:uid="{00000000-0005-0000-0000-0000F0060000}"/>
    <cellStyle name="Jun" xfId="1036" xr:uid="{00000000-0005-0000-0000-0000F1060000}"/>
    <cellStyle name="Linked Cell" xfId="1037" xr:uid="{00000000-0005-0000-0000-0000F2060000}"/>
    <cellStyle name="Linked Cell 2" xfId="1038" xr:uid="{00000000-0005-0000-0000-0000F3060000}"/>
    <cellStyle name="Linked Cell 3" xfId="1039" xr:uid="{00000000-0005-0000-0000-0000F4060000}"/>
    <cellStyle name="Linked Cell 4" xfId="1040" xr:uid="{00000000-0005-0000-0000-0000F5060000}"/>
    <cellStyle name="Linked Cell 5" xfId="1041" xr:uid="{00000000-0005-0000-0000-0000F6060000}"/>
    <cellStyle name="Milliers [0]_Arabian Spec" xfId="1042" xr:uid="{00000000-0005-0000-0000-0000F7060000}"/>
    <cellStyle name="Milliers_Arabian Spec" xfId="1043" xr:uid="{00000000-0005-0000-0000-0000F8060000}"/>
    <cellStyle name="Mon?aire [0]_Arabian Spec" xfId="1044" xr:uid="{00000000-0005-0000-0000-0000F9060000}"/>
    <cellStyle name="Mon?aire_Arabian Spec" xfId="1045" xr:uid="{00000000-0005-0000-0000-0000FA060000}"/>
    <cellStyle name="Neutral" xfId="1046" xr:uid="{00000000-0005-0000-0000-0000FB060000}"/>
    <cellStyle name="Neutral 2" xfId="1047" xr:uid="{00000000-0005-0000-0000-0000FC060000}"/>
    <cellStyle name="Neutral 3" xfId="1048" xr:uid="{00000000-0005-0000-0000-0000FD060000}"/>
    <cellStyle name="Neutral 4" xfId="1049" xr:uid="{00000000-0005-0000-0000-0000FE060000}"/>
    <cellStyle name="Neutral 5" xfId="1050" xr:uid="{00000000-0005-0000-0000-0000FF060000}"/>
    <cellStyle name="Normal - Style1" xfId="1051" xr:uid="{00000000-0005-0000-0000-000000070000}"/>
    <cellStyle name="Normal 1" xfId="2544" xr:uid="{00000000-0005-0000-0000-000001070000}"/>
    <cellStyle name="Normal 1 10" xfId="2595" xr:uid="{00000000-0005-0000-0000-000002070000}"/>
    <cellStyle name="Normal 1 10 2" xfId="2894" xr:uid="{00000000-0005-0000-0000-000003070000}"/>
    <cellStyle name="Normal 1 11" xfId="2596" xr:uid="{00000000-0005-0000-0000-000004070000}"/>
    <cellStyle name="Normal 1 11 2" xfId="2895" xr:uid="{00000000-0005-0000-0000-000005070000}"/>
    <cellStyle name="Normal 1 12" xfId="2924" xr:uid="{00000000-0005-0000-0000-000006070000}"/>
    <cellStyle name="Normal 1 12 2" xfId="2925" xr:uid="{00000000-0005-0000-0000-000007070000}"/>
    <cellStyle name="Normal 1 12 3" xfId="2926" xr:uid="{00000000-0005-0000-0000-000008070000}"/>
    <cellStyle name="Normal 1 13" xfId="2927" xr:uid="{00000000-0005-0000-0000-000009070000}"/>
    <cellStyle name="Normal 1 2" xfId="2545" xr:uid="{00000000-0005-0000-0000-00000A070000}"/>
    <cellStyle name="Normal 1 2 2" xfId="2721" xr:uid="{00000000-0005-0000-0000-00000B070000}"/>
    <cellStyle name="Normal 1 3" xfId="2597" xr:uid="{00000000-0005-0000-0000-00000C070000}"/>
    <cellStyle name="Normal 1 3 2" xfId="2896" xr:uid="{00000000-0005-0000-0000-00000D070000}"/>
    <cellStyle name="Normal 1 4" xfId="2598" xr:uid="{00000000-0005-0000-0000-00000E070000}"/>
    <cellStyle name="Normal 1 4 2" xfId="2897" xr:uid="{00000000-0005-0000-0000-00000F070000}"/>
    <cellStyle name="Normal 1 5" xfId="2599" xr:uid="{00000000-0005-0000-0000-000010070000}"/>
    <cellStyle name="Normal 1 5 2" xfId="2898" xr:uid="{00000000-0005-0000-0000-000011070000}"/>
    <cellStyle name="Normal 1 6" xfId="2600" xr:uid="{00000000-0005-0000-0000-000012070000}"/>
    <cellStyle name="Normal 1 6 2" xfId="2899" xr:uid="{00000000-0005-0000-0000-000013070000}"/>
    <cellStyle name="Normal 1 7" xfId="2601" xr:uid="{00000000-0005-0000-0000-000014070000}"/>
    <cellStyle name="Normal 1 7 2" xfId="2900" xr:uid="{00000000-0005-0000-0000-000015070000}"/>
    <cellStyle name="Normal 1 8" xfId="2602" xr:uid="{00000000-0005-0000-0000-000016070000}"/>
    <cellStyle name="Normal 1 8 2" xfId="2901" xr:uid="{00000000-0005-0000-0000-000017070000}"/>
    <cellStyle name="Normal 1 9" xfId="2603" xr:uid="{00000000-0005-0000-0000-000018070000}"/>
    <cellStyle name="Normal 1 9 2" xfId="2902" xr:uid="{00000000-0005-0000-0000-000019070000}"/>
    <cellStyle name="Normal 10" xfId="2546" xr:uid="{00000000-0005-0000-0000-00001A070000}"/>
    <cellStyle name="Normal 10 2" xfId="2547" xr:uid="{00000000-0005-0000-0000-00001B070000}"/>
    <cellStyle name="Normal 11" xfId="2548" xr:uid="{00000000-0005-0000-0000-00001C070000}"/>
    <cellStyle name="Normal 11 2" xfId="2549" xr:uid="{00000000-0005-0000-0000-00001D070000}"/>
    <cellStyle name="Normal 12" xfId="2550" xr:uid="{00000000-0005-0000-0000-00001E070000}"/>
    <cellStyle name="Normal 12 2" xfId="2551" xr:uid="{00000000-0005-0000-0000-00001F070000}"/>
    <cellStyle name="Normal 13" xfId="2552" xr:uid="{00000000-0005-0000-0000-000020070000}"/>
    <cellStyle name="Normal 14" xfId="2553" xr:uid="{00000000-0005-0000-0000-000021070000}"/>
    <cellStyle name="Normal 14 2" xfId="2554" xr:uid="{00000000-0005-0000-0000-000022070000}"/>
    <cellStyle name="Normal 15" xfId="2555" xr:uid="{00000000-0005-0000-0000-000023070000}"/>
    <cellStyle name="Normal 16" xfId="2556" xr:uid="{00000000-0005-0000-0000-000024070000}"/>
    <cellStyle name="Normal 17" xfId="2557" xr:uid="{00000000-0005-0000-0000-000025070000}"/>
    <cellStyle name="Normal 2" xfId="1052" xr:uid="{00000000-0005-0000-0000-000026070000}"/>
    <cellStyle name="Normal 2 2" xfId="1053" xr:uid="{00000000-0005-0000-0000-000027070000}"/>
    <cellStyle name="Normal 2 2 10" xfId="2604" xr:uid="{00000000-0005-0000-0000-000028070000}"/>
    <cellStyle name="Normal 2 2 11" xfId="2605" xr:uid="{00000000-0005-0000-0000-000029070000}"/>
    <cellStyle name="Normal 2 2 12" xfId="2606" xr:uid="{00000000-0005-0000-0000-00002A070000}"/>
    <cellStyle name="Normal 2 2 13" xfId="2607" xr:uid="{00000000-0005-0000-0000-00002B070000}"/>
    <cellStyle name="Normal 2 2 14" xfId="2608" xr:uid="{00000000-0005-0000-0000-00002C070000}"/>
    <cellStyle name="Normal 2 2 15" xfId="2609" xr:uid="{00000000-0005-0000-0000-00002D070000}"/>
    <cellStyle name="Normal 2 2 2" xfId="1805" xr:uid="{00000000-0005-0000-0000-00002E070000}"/>
    <cellStyle name="Normal 2 2 3" xfId="1804" xr:uid="{00000000-0005-0000-0000-00002F070000}"/>
    <cellStyle name="Normal 2 2 3 2" xfId="2558" xr:uid="{00000000-0005-0000-0000-000030070000}"/>
    <cellStyle name="Normal 2 2 4" xfId="2559" xr:uid="{00000000-0005-0000-0000-000031070000}"/>
    <cellStyle name="Normal 2 2 4 2" xfId="2928" xr:uid="{00000000-0005-0000-0000-000032070000}"/>
    <cellStyle name="Normal 2 2 4 2 2" xfId="2929" xr:uid="{00000000-0005-0000-0000-000033070000}"/>
    <cellStyle name="Normal 2 2 4 2 3" xfId="2930" xr:uid="{00000000-0005-0000-0000-000034070000}"/>
    <cellStyle name="Normal 2 2 4 3" xfId="2931" xr:uid="{00000000-0005-0000-0000-000035070000}"/>
    <cellStyle name="Normal 2 2 5" xfId="2560" xr:uid="{00000000-0005-0000-0000-000036070000}"/>
    <cellStyle name="Normal 2 2 6" xfId="2561" xr:uid="{00000000-0005-0000-0000-000037070000}"/>
    <cellStyle name="Normal 2 2 7" xfId="2610" xr:uid="{00000000-0005-0000-0000-000038070000}"/>
    <cellStyle name="Normal 2 2 8" xfId="2611" xr:uid="{00000000-0005-0000-0000-000039070000}"/>
    <cellStyle name="Normal 2 2 9" xfId="2612" xr:uid="{00000000-0005-0000-0000-00003A070000}"/>
    <cellStyle name="Normal 2 3" xfId="1054" xr:uid="{00000000-0005-0000-0000-00003B070000}"/>
    <cellStyle name="Normal 2 3 2" xfId="2563" xr:uid="{00000000-0005-0000-0000-00003C070000}"/>
    <cellStyle name="Normal 2 3 3" xfId="2562" xr:uid="{00000000-0005-0000-0000-00003D070000}"/>
    <cellStyle name="Normal 2 3 4" xfId="2683" xr:uid="{00000000-0005-0000-0000-00003E070000}"/>
    <cellStyle name="Normal 2 4" xfId="1055" xr:uid="{00000000-0005-0000-0000-00003F070000}"/>
    <cellStyle name="Normal 2 4 2" xfId="2564" xr:uid="{00000000-0005-0000-0000-000040070000}"/>
    <cellStyle name="Normal 2 4 3" xfId="2684" xr:uid="{00000000-0005-0000-0000-000041070000}"/>
    <cellStyle name="Normal 2 5" xfId="1056" xr:uid="{00000000-0005-0000-0000-000042070000}"/>
    <cellStyle name="Normal 2 5 2" xfId="2565" xr:uid="{00000000-0005-0000-0000-000043070000}"/>
    <cellStyle name="Normal 2 5 3" xfId="2685" xr:uid="{00000000-0005-0000-0000-000044070000}"/>
    <cellStyle name="Normal 2 6" xfId="2566" xr:uid="{00000000-0005-0000-0000-000045070000}"/>
    <cellStyle name="Normal 2 7" xfId="2567" xr:uid="{00000000-0005-0000-0000-000046070000}"/>
    <cellStyle name="Normal 2 8" xfId="2682" xr:uid="{00000000-0005-0000-0000-000047070000}"/>
    <cellStyle name="Normal 3" xfId="1057" xr:uid="{00000000-0005-0000-0000-000048070000}"/>
    <cellStyle name="Normal 3 2" xfId="2569" xr:uid="{00000000-0005-0000-0000-000049070000}"/>
    <cellStyle name="Normal 3 2 2" xfId="2570" xr:uid="{00000000-0005-0000-0000-00004A070000}"/>
    <cellStyle name="Normal 3 2 2 2" xfId="2571" xr:uid="{00000000-0005-0000-0000-00004B070000}"/>
    <cellStyle name="Normal 3 3" xfId="2572" xr:uid="{00000000-0005-0000-0000-00004C070000}"/>
    <cellStyle name="Normal 3 4" xfId="2568" xr:uid="{00000000-0005-0000-0000-00004D070000}"/>
    <cellStyle name="Normal 4" xfId="2573" xr:uid="{00000000-0005-0000-0000-00004E070000}"/>
    <cellStyle name="Normal 5" xfId="2574" xr:uid="{00000000-0005-0000-0000-00004F070000}"/>
    <cellStyle name="Normal 6" xfId="1806" xr:uid="{00000000-0005-0000-0000-000050070000}"/>
    <cellStyle name="Normal 6 10" xfId="2613" xr:uid="{00000000-0005-0000-0000-000051070000}"/>
    <cellStyle name="Normal 6 11" xfId="2614" xr:uid="{00000000-0005-0000-0000-000052070000}"/>
    <cellStyle name="Normal 6 12" xfId="2615" xr:uid="{00000000-0005-0000-0000-000053070000}"/>
    <cellStyle name="Normal 6 13" xfId="2616" xr:uid="{00000000-0005-0000-0000-000054070000}"/>
    <cellStyle name="Normal 6 14" xfId="2617" xr:uid="{00000000-0005-0000-0000-000055070000}"/>
    <cellStyle name="Normal 6 2" xfId="2575" xr:uid="{00000000-0005-0000-0000-000056070000}"/>
    <cellStyle name="Normal 6 2 2" xfId="2576" xr:uid="{00000000-0005-0000-0000-000057070000}"/>
    <cellStyle name="Normal 6 2 3" xfId="2932" xr:uid="{00000000-0005-0000-0000-000058070000}"/>
    <cellStyle name="Normal 6 2 3 2" xfId="2933" xr:uid="{00000000-0005-0000-0000-000059070000}"/>
    <cellStyle name="Normal 6 2 3 3" xfId="2934" xr:uid="{00000000-0005-0000-0000-00005A070000}"/>
    <cellStyle name="Normal 6 2 4" xfId="2935" xr:uid="{00000000-0005-0000-0000-00005B070000}"/>
    <cellStyle name="Normal 6 3" xfId="2577" xr:uid="{00000000-0005-0000-0000-00005C070000}"/>
    <cellStyle name="Normal 6 4" xfId="2578" xr:uid="{00000000-0005-0000-0000-00005D070000}"/>
    <cellStyle name="Normal 6 5" xfId="2579" xr:uid="{00000000-0005-0000-0000-00005E070000}"/>
    <cellStyle name="Normal 6 6" xfId="2618" xr:uid="{00000000-0005-0000-0000-00005F070000}"/>
    <cellStyle name="Normal 6 7" xfId="2619" xr:uid="{00000000-0005-0000-0000-000060070000}"/>
    <cellStyle name="Normal 6 8" xfId="2620" xr:uid="{00000000-0005-0000-0000-000061070000}"/>
    <cellStyle name="Normal 6 9" xfId="2621" xr:uid="{00000000-0005-0000-0000-000062070000}"/>
    <cellStyle name="Normal 7" xfId="1058" xr:uid="{00000000-0005-0000-0000-000063070000}"/>
    <cellStyle name="Normal 7 10" xfId="2622" xr:uid="{00000000-0005-0000-0000-000064070000}"/>
    <cellStyle name="Normal 7 11" xfId="2623" xr:uid="{00000000-0005-0000-0000-000065070000}"/>
    <cellStyle name="Normal 7 12" xfId="2624" xr:uid="{00000000-0005-0000-0000-000066070000}"/>
    <cellStyle name="Normal 7 13" xfId="2625" xr:uid="{00000000-0005-0000-0000-000067070000}"/>
    <cellStyle name="Normal 7 14" xfId="2626" xr:uid="{00000000-0005-0000-0000-000068070000}"/>
    <cellStyle name="Normal 7 2" xfId="1807" xr:uid="{00000000-0005-0000-0000-000069070000}"/>
    <cellStyle name="Normal 7 2 2" xfId="2580" xr:uid="{00000000-0005-0000-0000-00006A070000}"/>
    <cellStyle name="Normal 7 3" xfId="2581" xr:uid="{00000000-0005-0000-0000-00006B070000}"/>
    <cellStyle name="Normal 7 3 2" xfId="2936" xr:uid="{00000000-0005-0000-0000-00006C070000}"/>
    <cellStyle name="Normal 7 3 2 2" xfId="2937" xr:uid="{00000000-0005-0000-0000-00006D070000}"/>
    <cellStyle name="Normal 7 3 2 3" xfId="2938" xr:uid="{00000000-0005-0000-0000-00006E070000}"/>
    <cellStyle name="Normal 7 3 3" xfId="2939" xr:uid="{00000000-0005-0000-0000-00006F070000}"/>
    <cellStyle name="Normal 7 4" xfId="2582" xr:uid="{00000000-0005-0000-0000-000070070000}"/>
    <cellStyle name="Normal 7 5" xfId="2583" xr:uid="{00000000-0005-0000-0000-000071070000}"/>
    <cellStyle name="Normal 7 6" xfId="2627" xr:uid="{00000000-0005-0000-0000-000072070000}"/>
    <cellStyle name="Normal 7 7" xfId="2628" xr:uid="{00000000-0005-0000-0000-000073070000}"/>
    <cellStyle name="Normal 7 8" xfId="2629" xr:uid="{00000000-0005-0000-0000-000074070000}"/>
    <cellStyle name="Normal 7 9" xfId="2630" xr:uid="{00000000-0005-0000-0000-000075070000}"/>
    <cellStyle name="Normal 8" xfId="1808" xr:uid="{00000000-0005-0000-0000-000076070000}"/>
    <cellStyle name="Normal 8 2" xfId="2584" xr:uid="{00000000-0005-0000-0000-000077070000}"/>
    <cellStyle name="Normal 8 2 2" xfId="2585" xr:uid="{00000000-0005-0000-0000-000078070000}"/>
    <cellStyle name="Normal 8 3" xfId="2586" xr:uid="{00000000-0005-0000-0000-000079070000}"/>
    <cellStyle name="Normal 9" xfId="1809" xr:uid="{00000000-0005-0000-0000-00007A070000}"/>
    <cellStyle name="Normal 9 2" xfId="2587" xr:uid="{00000000-0005-0000-0000-00007B070000}"/>
    <cellStyle name="Normal 9 2 2" xfId="2588" xr:uid="{00000000-0005-0000-0000-00007C070000}"/>
    <cellStyle name="Normal 9 3" xfId="2589" xr:uid="{00000000-0005-0000-0000-00007D070000}"/>
    <cellStyle name="Normal_(통합본)케어팩 가격표_as of 04JUL2003" xfId="1059" xr:uid="{00000000-0005-0000-0000-00007E070000}"/>
    <cellStyle name="Note" xfId="1060" xr:uid="{00000000-0005-0000-0000-00007F070000}"/>
    <cellStyle name="Note 2" xfId="1061" xr:uid="{00000000-0005-0000-0000-000080070000}"/>
    <cellStyle name="Note 3" xfId="1062" xr:uid="{00000000-0005-0000-0000-000081070000}"/>
    <cellStyle name="Note 4" xfId="1063" xr:uid="{00000000-0005-0000-0000-000082070000}"/>
    <cellStyle name="Note 5" xfId="1064" xr:uid="{00000000-0005-0000-0000-000083070000}"/>
    <cellStyle name="Note 6" xfId="1065" xr:uid="{00000000-0005-0000-0000-000084070000}"/>
    <cellStyle name="Note 7" xfId="1066" xr:uid="{00000000-0005-0000-0000-000085070000}"/>
    <cellStyle name="Note 8" xfId="1067" xr:uid="{00000000-0005-0000-0000-000086070000}"/>
    <cellStyle name="Note 9" xfId="1068" xr:uid="{00000000-0005-0000-0000-000087070000}"/>
    <cellStyle name="Output" xfId="1069" xr:uid="{00000000-0005-0000-0000-000088070000}"/>
    <cellStyle name="Output 2" xfId="1070" xr:uid="{00000000-0005-0000-0000-000089070000}"/>
    <cellStyle name="Output 3" xfId="1071" xr:uid="{00000000-0005-0000-0000-00008A070000}"/>
    <cellStyle name="Output 4" xfId="1072" xr:uid="{00000000-0005-0000-0000-00008B070000}"/>
    <cellStyle name="Output 5" xfId="1073" xr:uid="{00000000-0005-0000-0000-00008C070000}"/>
    <cellStyle name="Percent [2]" xfId="1074" xr:uid="{00000000-0005-0000-0000-00008D070000}"/>
    <cellStyle name="Percent [2] 2" xfId="1075" xr:uid="{00000000-0005-0000-0000-00008E070000}"/>
    <cellStyle name="Percent [2] 3" xfId="1076" xr:uid="{00000000-0005-0000-0000-00008F070000}"/>
    <cellStyle name="Percent [2] 4" xfId="1077" xr:uid="{00000000-0005-0000-0000-000090070000}"/>
    <cellStyle name="Percent [2] 5" xfId="1078" xr:uid="{00000000-0005-0000-0000-000091070000}"/>
    <cellStyle name="Percent [2] 6" xfId="1079" xr:uid="{00000000-0005-0000-0000-000092070000}"/>
    <cellStyle name="Percent [2] 7" xfId="1080" xr:uid="{00000000-0005-0000-0000-000093070000}"/>
    <cellStyle name="Percent [2] 8" xfId="1081" xr:uid="{00000000-0005-0000-0000-000094070000}"/>
    <cellStyle name="Percent [2] 9" xfId="1082" xr:uid="{00000000-0005-0000-0000-000095070000}"/>
    <cellStyle name="Percent 2" xfId="1083" xr:uid="{00000000-0005-0000-0000-000096070000}"/>
    <cellStyle name="Percent_EBG Fcst &amp; BRM 2001_10_19" xfId="1084" xr:uid="{00000000-0005-0000-0000-000097070000}"/>
    <cellStyle name="SAPBEXstdItem" xfId="1085" xr:uid="{00000000-0005-0000-0000-000098070000}"/>
    <cellStyle name="Standard_laroux" xfId="1086" xr:uid="{00000000-0005-0000-0000-000099070000}"/>
    <cellStyle name="Style 1" xfId="1087" xr:uid="{00000000-0005-0000-0000-00009A070000}"/>
    <cellStyle name="Style 1 10" xfId="2631" xr:uid="{00000000-0005-0000-0000-00009B070000}"/>
    <cellStyle name="Style 1 10 2" xfId="2903" xr:uid="{00000000-0005-0000-0000-00009C070000}"/>
    <cellStyle name="Style 1 11" xfId="2632" xr:uid="{00000000-0005-0000-0000-00009D070000}"/>
    <cellStyle name="Style 1 11 2" xfId="2904" xr:uid="{00000000-0005-0000-0000-00009E070000}"/>
    <cellStyle name="Style 1 12" xfId="2686" xr:uid="{00000000-0005-0000-0000-00009F070000}"/>
    <cellStyle name="Style 1 13" xfId="2738" xr:uid="{00000000-0005-0000-0000-0000A0070000}"/>
    <cellStyle name="Style 1 13 2" xfId="2940" xr:uid="{00000000-0005-0000-0000-0000A1070000}"/>
    <cellStyle name="Style 1 13 3" xfId="2941" xr:uid="{00000000-0005-0000-0000-0000A2070000}"/>
    <cellStyle name="Style 1 14" xfId="2942" xr:uid="{00000000-0005-0000-0000-0000A3070000}"/>
    <cellStyle name="Style 1 2" xfId="2590" xr:uid="{00000000-0005-0000-0000-0000A4070000}"/>
    <cellStyle name="Style 1 2 2" xfId="2722" xr:uid="{00000000-0005-0000-0000-0000A5070000}"/>
    <cellStyle name="Style 1 2 3" xfId="2943" xr:uid="{00000000-0005-0000-0000-0000A6070000}"/>
    <cellStyle name="Style 1 2 3 2" xfId="2944" xr:uid="{00000000-0005-0000-0000-0000A7070000}"/>
    <cellStyle name="Style 1 2 3 3" xfId="2945" xr:uid="{00000000-0005-0000-0000-0000A8070000}"/>
    <cellStyle name="Style 1 2 4" xfId="2946" xr:uid="{00000000-0005-0000-0000-0000A9070000}"/>
    <cellStyle name="Style 1 3" xfId="2633" xr:uid="{00000000-0005-0000-0000-0000AA070000}"/>
    <cellStyle name="Style 1 3 2" xfId="2905" xr:uid="{00000000-0005-0000-0000-0000AB070000}"/>
    <cellStyle name="Style 1 4" xfId="2634" xr:uid="{00000000-0005-0000-0000-0000AC070000}"/>
    <cellStyle name="Style 1 4 2" xfId="2906" xr:uid="{00000000-0005-0000-0000-0000AD070000}"/>
    <cellStyle name="Style 1 5" xfId="2635" xr:uid="{00000000-0005-0000-0000-0000AE070000}"/>
    <cellStyle name="Style 1 5 2" xfId="2907" xr:uid="{00000000-0005-0000-0000-0000AF070000}"/>
    <cellStyle name="Style 1 6" xfId="2636" xr:uid="{00000000-0005-0000-0000-0000B0070000}"/>
    <cellStyle name="Style 1 6 2" xfId="2908" xr:uid="{00000000-0005-0000-0000-0000B1070000}"/>
    <cellStyle name="Style 1 7" xfId="2637" xr:uid="{00000000-0005-0000-0000-0000B2070000}"/>
    <cellStyle name="Style 1 7 2" xfId="2909" xr:uid="{00000000-0005-0000-0000-0000B3070000}"/>
    <cellStyle name="Style 1 8" xfId="2638" xr:uid="{00000000-0005-0000-0000-0000B4070000}"/>
    <cellStyle name="Style 1 8 2" xfId="2910" xr:uid="{00000000-0005-0000-0000-0000B5070000}"/>
    <cellStyle name="Style 1 9" xfId="2639" xr:uid="{00000000-0005-0000-0000-0000B6070000}"/>
    <cellStyle name="Style 1 9 2" xfId="2911" xr:uid="{00000000-0005-0000-0000-0000B7070000}"/>
    <cellStyle name="Title" xfId="1088" xr:uid="{00000000-0005-0000-0000-0000B8070000}"/>
    <cellStyle name="Title 2" xfId="1089" xr:uid="{00000000-0005-0000-0000-0000B9070000}"/>
    <cellStyle name="Title 3" xfId="1090" xr:uid="{00000000-0005-0000-0000-0000BA070000}"/>
    <cellStyle name="Title 4" xfId="1091" xr:uid="{00000000-0005-0000-0000-0000BB070000}"/>
    <cellStyle name="Title 5" xfId="1092" xr:uid="{00000000-0005-0000-0000-0000BC070000}"/>
    <cellStyle name="Total" xfId="1093" xr:uid="{00000000-0005-0000-0000-0000BD070000}"/>
    <cellStyle name="Total 2" xfId="1094" xr:uid="{00000000-0005-0000-0000-0000BE070000}"/>
    <cellStyle name="Total 3" xfId="1095" xr:uid="{00000000-0005-0000-0000-0000BF070000}"/>
    <cellStyle name="Total 4" xfId="1096" xr:uid="{00000000-0005-0000-0000-0000C0070000}"/>
    <cellStyle name="Total 5" xfId="1097" xr:uid="{00000000-0005-0000-0000-0000C1070000}"/>
    <cellStyle name="W?rung [0]_laroux" xfId="1098" xr:uid="{00000000-0005-0000-0000-0000C2070000}"/>
    <cellStyle name="W?rung_laroux" xfId="1099" xr:uid="{00000000-0005-0000-0000-0000C3070000}"/>
    <cellStyle name="Warning Text" xfId="1100" xr:uid="{00000000-0005-0000-0000-0000C4070000}"/>
    <cellStyle name="Warning Text 2" xfId="1101" xr:uid="{00000000-0005-0000-0000-0000C5070000}"/>
    <cellStyle name="Warning Text 3" xfId="1102" xr:uid="{00000000-0005-0000-0000-0000C6070000}"/>
    <cellStyle name="Warning Text 4" xfId="1103" xr:uid="{00000000-0005-0000-0000-0000C7070000}"/>
    <cellStyle name="Warning Text 5" xfId="1104" xr:uid="{00000000-0005-0000-0000-0000C8070000}"/>
    <cellStyle name="강조색1 10" xfId="1105" xr:uid="{00000000-0005-0000-0000-0000C9070000}"/>
    <cellStyle name="강조색1 11" xfId="1106" xr:uid="{00000000-0005-0000-0000-0000CA070000}"/>
    <cellStyle name="강조색1 12" xfId="1107" xr:uid="{00000000-0005-0000-0000-0000CB070000}"/>
    <cellStyle name="강조색1 2" xfId="1108" xr:uid="{00000000-0005-0000-0000-0000CC070000}"/>
    <cellStyle name="강조색1 2 2" xfId="1109" xr:uid="{00000000-0005-0000-0000-0000CD070000}"/>
    <cellStyle name="강조색1 2 3" xfId="1110" xr:uid="{00000000-0005-0000-0000-0000CE070000}"/>
    <cellStyle name="강조색1 2 4" xfId="1111" xr:uid="{00000000-0005-0000-0000-0000CF070000}"/>
    <cellStyle name="강조색1 2 5" xfId="1112" xr:uid="{00000000-0005-0000-0000-0000D0070000}"/>
    <cellStyle name="강조색1 2 6" xfId="1113" xr:uid="{00000000-0005-0000-0000-0000D1070000}"/>
    <cellStyle name="강조색1 2 7" xfId="1114" xr:uid="{00000000-0005-0000-0000-0000D2070000}"/>
    <cellStyle name="강조색1 3" xfId="1115" xr:uid="{00000000-0005-0000-0000-0000D3070000}"/>
    <cellStyle name="강조색1 3 2" xfId="1116" xr:uid="{00000000-0005-0000-0000-0000D4070000}"/>
    <cellStyle name="강조색1 4" xfId="1117" xr:uid="{00000000-0005-0000-0000-0000D5070000}"/>
    <cellStyle name="강조색1 5" xfId="1118" xr:uid="{00000000-0005-0000-0000-0000D6070000}"/>
    <cellStyle name="강조색1 6" xfId="1119" xr:uid="{00000000-0005-0000-0000-0000D7070000}"/>
    <cellStyle name="강조색1 7" xfId="1120" xr:uid="{00000000-0005-0000-0000-0000D8070000}"/>
    <cellStyle name="강조색1 8" xfId="1121" xr:uid="{00000000-0005-0000-0000-0000D9070000}"/>
    <cellStyle name="강조색1 9" xfId="1122" xr:uid="{00000000-0005-0000-0000-0000DA070000}"/>
    <cellStyle name="강조색2 10" xfId="1123" xr:uid="{00000000-0005-0000-0000-0000DB070000}"/>
    <cellStyle name="강조색2 11" xfId="1124" xr:uid="{00000000-0005-0000-0000-0000DC070000}"/>
    <cellStyle name="강조색2 12" xfId="1125" xr:uid="{00000000-0005-0000-0000-0000DD070000}"/>
    <cellStyle name="강조색2 2" xfId="1126" xr:uid="{00000000-0005-0000-0000-0000DE070000}"/>
    <cellStyle name="강조색2 2 2" xfId="1127" xr:uid="{00000000-0005-0000-0000-0000DF070000}"/>
    <cellStyle name="강조색2 2 3" xfId="1128" xr:uid="{00000000-0005-0000-0000-0000E0070000}"/>
    <cellStyle name="강조색2 2 4" xfId="1129" xr:uid="{00000000-0005-0000-0000-0000E1070000}"/>
    <cellStyle name="강조색2 2 5" xfId="1130" xr:uid="{00000000-0005-0000-0000-0000E2070000}"/>
    <cellStyle name="강조색2 2 6" xfId="1131" xr:uid="{00000000-0005-0000-0000-0000E3070000}"/>
    <cellStyle name="강조색2 2 7" xfId="1132" xr:uid="{00000000-0005-0000-0000-0000E4070000}"/>
    <cellStyle name="강조색2 3" xfId="1133" xr:uid="{00000000-0005-0000-0000-0000E5070000}"/>
    <cellStyle name="강조색2 3 2" xfId="1134" xr:uid="{00000000-0005-0000-0000-0000E6070000}"/>
    <cellStyle name="강조색2 4" xfId="1135" xr:uid="{00000000-0005-0000-0000-0000E7070000}"/>
    <cellStyle name="강조색2 5" xfId="1136" xr:uid="{00000000-0005-0000-0000-0000E8070000}"/>
    <cellStyle name="강조색2 6" xfId="1137" xr:uid="{00000000-0005-0000-0000-0000E9070000}"/>
    <cellStyle name="강조색2 7" xfId="1138" xr:uid="{00000000-0005-0000-0000-0000EA070000}"/>
    <cellStyle name="강조색2 8" xfId="1139" xr:uid="{00000000-0005-0000-0000-0000EB070000}"/>
    <cellStyle name="강조색2 9" xfId="1140" xr:uid="{00000000-0005-0000-0000-0000EC070000}"/>
    <cellStyle name="강조색3 10" xfId="1141" xr:uid="{00000000-0005-0000-0000-0000ED070000}"/>
    <cellStyle name="강조색3 11" xfId="1142" xr:uid="{00000000-0005-0000-0000-0000EE070000}"/>
    <cellStyle name="강조색3 12" xfId="1143" xr:uid="{00000000-0005-0000-0000-0000EF070000}"/>
    <cellStyle name="강조색3 2" xfId="1144" xr:uid="{00000000-0005-0000-0000-0000F0070000}"/>
    <cellStyle name="강조색3 2 2" xfId="1145" xr:uid="{00000000-0005-0000-0000-0000F1070000}"/>
    <cellStyle name="강조색3 2 3" xfId="1146" xr:uid="{00000000-0005-0000-0000-0000F2070000}"/>
    <cellStyle name="강조색3 2 4" xfId="1147" xr:uid="{00000000-0005-0000-0000-0000F3070000}"/>
    <cellStyle name="강조색3 2 5" xfId="1148" xr:uid="{00000000-0005-0000-0000-0000F4070000}"/>
    <cellStyle name="강조색3 2 6" xfId="1149" xr:uid="{00000000-0005-0000-0000-0000F5070000}"/>
    <cellStyle name="강조색3 2 7" xfId="1150" xr:uid="{00000000-0005-0000-0000-0000F6070000}"/>
    <cellStyle name="강조색3 3" xfId="1151" xr:uid="{00000000-0005-0000-0000-0000F7070000}"/>
    <cellStyle name="강조색3 3 2" xfId="1152" xr:uid="{00000000-0005-0000-0000-0000F8070000}"/>
    <cellStyle name="강조색3 4" xfId="1153" xr:uid="{00000000-0005-0000-0000-0000F9070000}"/>
    <cellStyle name="강조색3 5" xfId="1154" xr:uid="{00000000-0005-0000-0000-0000FA070000}"/>
    <cellStyle name="강조색3 6" xfId="1155" xr:uid="{00000000-0005-0000-0000-0000FB070000}"/>
    <cellStyle name="강조색3 7" xfId="1156" xr:uid="{00000000-0005-0000-0000-0000FC070000}"/>
    <cellStyle name="강조색3 8" xfId="1157" xr:uid="{00000000-0005-0000-0000-0000FD070000}"/>
    <cellStyle name="강조색3 9" xfId="1158" xr:uid="{00000000-0005-0000-0000-0000FE070000}"/>
    <cellStyle name="강조색4 10" xfId="1159" xr:uid="{00000000-0005-0000-0000-0000FF070000}"/>
    <cellStyle name="강조색4 11" xfId="1160" xr:uid="{00000000-0005-0000-0000-000000080000}"/>
    <cellStyle name="강조색4 12" xfId="1161" xr:uid="{00000000-0005-0000-0000-000001080000}"/>
    <cellStyle name="강조색4 2" xfId="1162" xr:uid="{00000000-0005-0000-0000-000002080000}"/>
    <cellStyle name="강조색4 2 2" xfId="1163" xr:uid="{00000000-0005-0000-0000-000003080000}"/>
    <cellStyle name="강조색4 2 3" xfId="1164" xr:uid="{00000000-0005-0000-0000-000004080000}"/>
    <cellStyle name="강조색4 2 4" xfId="1165" xr:uid="{00000000-0005-0000-0000-000005080000}"/>
    <cellStyle name="강조색4 2 5" xfId="1166" xr:uid="{00000000-0005-0000-0000-000006080000}"/>
    <cellStyle name="강조색4 2 6" xfId="1167" xr:uid="{00000000-0005-0000-0000-000007080000}"/>
    <cellStyle name="강조색4 2 7" xfId="1168" xr:uid="{00000000-0005-0000-0000-000008080000}"/>
    <cellStyle name="강조색4 3" xfId="1169" xr:uid="{00000000-0005-0000-0000-000009080000}"/>
    <cellStyle name="강조색4 3 2" xfId="1170" xr:uid="{00000000-0005-0000-0000-00000A080000}"/>
    <cellStyle name="강조색4 4" xfId="1171" xr:uid="{00000000-0005-0000-0000-00000B080000}"/>
    <cellStyle name="강조색4 5" xfId="1172" xr:uid="{00000000-0005-0000-0000-00000C080000}"/>
    <cellStyle name="강조색4 6" xfId="1173" xr:uid="{00000000-0005-0000-0000-00000D080000}"/>
    <cellStyle name="강조색4 7" xfId="1174" xr:uid="{00000000-0005-0000-0000-00000E080000}"/>
    <cellStyle name="강조색4 8" xfId="1175" xr:uid="{00000000-0005-0000-0000-00000F080000}"/>
    <cellStyle name="강조색4 9" xfId="1176" xr:uid="{00000000-0005-0000-0000-000010080000}"/>
    <cellStyle name="강조색5 10" xfId="1177" xr:uid="{00000000-0005-0000-0000-000011080000}"/>
    <cellStyle name="강조색5 11" xfId="1178" xr:uid="{00000000-0005-0000-0000-000012080000}"/>
    <cellStyle name="강조색5 12" xfId="1179" xr:uid="{00000000-0005-0000-0000-000013080000}"/>
    <cellStyle name="강조색5 2" xfId="1180" xr:uid="{00000000-0005-0000-0000-000014080000}"/>
    <cellStyle name="강조색5 2 2" xfId="1181" xr:uid="{00000000-0005-0000-0000-000015080000}"/>
    <cellStyle name="강조색5 2 3" xfId="1182" xr:uid="{00000000-0005-0000-0000-000016080000}"/>
    <cellStyle name="강조색5 2 4" xfId="1183" xr:uid="{00000000-0005-0000-0000-000017080000}"/>
    <cellStyle name="강조색5 2 5" xfId="1184" xr:uid="{00000000-0005-0000-0000-000018080000}"/>
    <cellStyle name="강조색5 2 6" xfId="1185" xr:uid="{00000000-0005-0000-0000-000019080000}"/>
    <cellStyle name="강조색5 2 7" xfId="1186" xr:uid="{00000000-0005-0000-0000-00001A080000}"/>
    <cellStyle name="강조색5 3" xfId="1187" xr:uid="{00000000-0005-0000-0000-00001B080000}"/>
    <cellStyle name="강조색5 3 2" xfId="1188" xr:uid="{00000000-0005-0000-0000-00001C080000}"/>
    <cellStyle name="강조색5 4" xfId="1189" xr:uid="{00000000-0005-0000-0000-00001D080000}"/>
    <cellStyle name="강조색5 5" xfId="1190" xr:uid="{00000000-0005-0000-0000-00001E080000}"/>
    <cellStyle name="강조색5 6" xfId="1191" xr:uid="{00000000-0005-0000-0000-00001F080000}"/>
    <cellStyle name="강조색5 7" xfId="1192" xr:uid="{00000000-0005-0000-0000-000020080000}"/>
    <cellStyle name="강조색5 8" xfId="1193" xr:uid="{00000000-0005-0000-0000-000021080000}"/>
    <cellStyle name="강조색5 9" xfId="1194" xr:uid="{00000000-0005-0000-0000-000022080000}"/>
    <cellStyle name="강조색6 10" xfId="1195" xr:uid="{00000000-0005-0000-0000-000023080000}"/>
    <cellStyle name="강조색6 11" xfId="1196" xr:uid="{00000000-0005-0000-0000-000024080000}"/>
    <cellStyle name="강조색6 12" xfId="1197" xr:uid="{00000000-0005-0000-0000-000025080000}"/>
    <cellStyle name="강조색6 2" xfId="1198" xr:uid="{00000000-0005-0000-0000-000026080000}"/>
    <cellStyle name="강조색6 2 2" xfId="1199" xr:uid="{00000000-0005-0000-0000-000027080000}"/>
    <cellStyle name="강조색6 2 3" xfId="1200" xr:uid="{00000000-0005-0000-0000-000028080000}"/>
    <cellStyle name="강조색6 2 4" xfId="1201" xr:uid="{00000000-0005-0000-0000-000029080000}"/>
    <cellStyle name="강조색6 2 5" xfId="1202" xr:uid="{00000000-0005-0000-0000-00002A080000}"/>
    <cellStyle name="강조색6 2 6" xfId="1203" xr:uid="{00000000-0005-0000-0000-00002B080000}"/>
    <cellStyle name="강조색6 2 7" xfId="1204" xr:uid="{00000000-0005-0000-0000-00002C080000}"/>
    <cellStyle name="강조색6 3" xfId="1205" xr:uid="{00000000-0005-0000-0000-00002D080000}"/>
    <cellStyle name="강조색6 3 2" xfId="1206" xr:uid="{00000000-0005-0000-0000-00002E080000}"/>
    <cellStyle name="강조색6 4" xfId="1207" xr:uid="{00000000-0005-0000-0000-00002F080000}"/>
    <cellStyle name="강조색6 5" xfId="1208" xr:uid="{00000000-0005-0000-0000-000030080000}"/>
    <cellStyle name="강조색6 6" xfId="1209" xr:uid="{00000000-0005-0000-0000-000031080000}"/>
    <cellStyle name="강조색6 7" xfId="1210" xr:uid="{00000000-0005-0000-0000-000032080000}"/>
    <cellStyle name="강조색6 8" xfId="1211" xr:uid="{00000000-0005-0000-0000-000033080000}"/>
    <cellStyle name="강조색6 9" xfId="1212" xr:uid="{00000000-0005-0000-0000-000034080000}"/>
    <cellStyle name="경고문 10" xfId="1213" xr:uid="{00000000-0005-0000-0000-000035080000}"/>
    <cellStyle name="경고문 11" xfId="1214" xr:uid="{00000000-0005-0000-0000-000036080000}"/>
    <cellStyle name="경고문 12" xfId="1215" xr:uid="{00000000-0005-0000-0000-000037080000}"/>
    <cellStyle name="경고문 2" xfId="1216" xr:uid="{00000000-0005-0000-0000-000038080000}"/>
    <cellStyle name="경고문 2 2" xfId="1217" xr:uid="{00000000-0005-0000-0000-000039080000}"/>
    <cellStyle name="경고문 2 3" xfId="1218" xr:uid="{00000000-0005-0000-0000-00003A080000}"/>
    <cellStyle name="경고문 2 4" xfId="1219" xr:uid="{00000000-0005-0000-0000-00003B080000}"/>
    <cellStyle name="경고문 2 5" xfId="1220" xr:uid="{00000000-0005-0000-0000-00003C080000}"/>
    <cellStyle name="경고문 2 6" xfId="1221" xr:uid="{00000000-0005-0000-0000-00003D080000}"/>
    <cellStyle name="경고문 2 7" xfId="1222" xr:uid="{00000000-0005-0000-0000-00003E080000}"/>
    <cellStyle name="경고문 3" xfId="1223" xr:uid="{00000000-0005-0000-0000-00003F080000}"/>
    <cellStyle name="경고문 3 2" xfId="1224" xr:uid="{00000000-0005-0000-0000-000040080000}"/>
    <cellStyle name="경고문 4" xfId="1225" xr:uid="{00000000-0005-0000-0000-000041080000}"/>
    <cellStyle name="경고문 5" xfId="1226" xr:uid="{00000000-0005-0000-0000-000042080000}"/>
    <cellStyle name="경고문 6" xfId="1227" xr:uid="{00000000-0005-0000-0000-000043080000}"/>
    <cellStyle name="경고문 7" xfId="1228" xr:uid="{00000000-0005-0000-0000-000044080000}"/>
    <cellStyle name="경고문 8" xfId="1229" xr:uid="{00000000-0005-0000-0000-000045080000}"/>
    <cellStyle name="경고문 9" xfId="1230" xr:uid="{00000000-0005-0000-0000-000046080000}"/>
    <cellStyle name="계산 10" xfId="1231" xr:uid="{00000000-0005-0000-0000-000047080000}"/>
    <cellStyle name="계산 11" xfId="1232" xr:uid="{00000000-0005-0000-0000-000048080000}"/>
    <cellStyle name="계산 12" xfId="1233" xr:uid="{00000000-0005-0000-0000-000049080000}"/>
    <cellStyle name="계산 2" xfId="1234" xr:uid="{00000000-0005-0000-0000-00004A080000}"/>
    <cellStyle name="계산 2 2" xfId="1235" xr:uid="{00000000-0005-0000-0000-00004B080000}"/>
    <cellStyle name="계산 2 3" xfId="1236" xr:uid="{00000000-0005-0000-0000-00004C080000}"/>
    <cellStyle name="계산 2 4" xfId="1237" xr:uid="{00000000-0005-0000-0000-00004D080000}"/>
    <cellStyle name="계산 2 5" xfId="1238" xr:uid="{00000000-0005-0000-0000-00004E080000}"/>
    <cellStyle name="계산 2 6" xfId="1239" xr:uid="{00000000-0005-0000-0000-00004F080000}"/>
    <cellStyle name="계산 2 7" xfId="1240" xr:uid="{00000000-0005-0000-0000-000050080000}"/>
    <cellStyle name="계산 3" xfId="1241" xr:uid="{00000000-0005-0000-0000-000051080000}"/>
    <cellStyle name="계산 3 2" xfId="1242" xr:uid="{00000000-0005-0000-0000-000052080000}"/>
    <cellStyle name="계산 4" xfId="1243" xr:uid="{00000000-0005-0000-0000-000053080000}"/>
    <cellStyle name="계산 5" xfId="1244" xr:uid="{00000000-0005-0000-0000-000054080000}"/>
    <cellStyle name="계산 6" xfId="1245" xr:uid="{00000000-0005-0000-0000-000055080000}"/>
    <cellStyle name="계산 7" xfId="1246" xr:uid="{00000000-0005-0000-0000-000056080000}"/>
    <cellStyle name="계산 8" xfId="1247" xr:uid="{00000000-0005-0000-0000-000057080000}"/>
    <cellStyle name="계산 9" xfId="1248" xr:uid="{00000000-0005-0000-0000-000058080000}"/>
    <cellStyle name="나쁨 10" xfId="1249" xr:uid="{00000000-0005-0000-0000-000059080000}"/>
    <cellStyle name="나쁨 11" xfId="1250" xr:uid="{00000000-0005-0000-0000-00005A080000}"/>
    <cellStyle name="나쁨 12" xfId="1251" xr:uid="{00000000-0005-0000-0000-00005B080000}"/>
    <cellStyle name="나쁨 2" xfId="1252" xr:uid="{00000000-0005-0000-0000-00005C080000}"/>
    <cellStyle name="나쁨 2 2" xfId="1253" xr:uid="{00000000-0005-0000-0000-00005D080000}"/>
    <cellStyle name="나쁨 2 3" xfId="1254" xr:uid="{00000000-0005-0000-0000-00005E080000}"/>
    <cellStyle name="나쁨 2 4" xfId="1255" xr:uid="{00000000-0005-0000-0000-00005F080000}"/>
    <cellStyle name="나쁨 2 5" xfId="1256" xr:uid="{00000000-0005-0000-0000-000060080000}"/>
    <cellStyle name="나쁨 2 6" xfId="1257" xr:uid="{00000000-0005-0000-0000-000061080000}"/>
    <cellStyle name="나쁨 2 7" xfId="1258" xr:uid="{00000000-0005-0000-0000-000062080000}"/>
    <cellStyle name="나쁨 3" xfId="1259" xr:uid="{00000000-0005-0000-0000-000063080000}"/>
    <cellStyle name="나쁨 3 2" xfId="1260" xr:uid="{00000000-0005-0000-0000-000064080000}"/>
    <cellStyle name="나쁨 4" xfId="1261" xr:uid="{00000000-0005-0000-0000-000065080000}"/>
    <cellStyle name="나쁨 5" xfId="1262" xr:uid="{00000000-0005-0000-0000-000066080000}"/>
    <cellStyle name="나쁨 6" xfId="1263" xr:uid="{00000000-0005-0000-0000-000067080000}"/>
    <cellStyle name="나쁨 7" xfId="1264" xr:uid="{00000000-0005-0000-0000-000068080000}"/>
    <cellStyle name="나쁨 8" xfId="1265" xr:uid="{00000000-0005-0000-0000-000069080000}"/>
    <cellStyle name="나쁨 9" xfId="1266" xr:uid="{00000000-0005-0000-0000-00006A080000}"/>
    <cellStyle name="메모 2" xfId="1267" xr:uid="{00000000-0005-0000-0000-00006B080000}"/>
    <cellStyle name="메모 2 2" xfId="1268" xr:uid="{00000000-0005-0000-0000-00006C080000}"/>
    <cellStyle name="메모 2 3" xfId="1269" xr:uid="{00000000-0005-0000-0000-00006D080000}"/>
    <cellStyle name="메모 3" xfId="1270" xr:uid="{00000000-0005-0000-0000-00006E080000}"/>
    <cellStyle name="메모 3 2" xfId="1271" xr:uid="{00000000-0005-0000-0000-00006F080000}"/>
    <cellStyle name="메모 4" xfId="1272" xr:uid="{00000000-0005-0000-0000-000070080000}"/>
    <cellStyle name="메모 5" xfId="1273" xr:uid="{00000000-0005-0000-0000-000071080000}"/>
    <cellStyle name="백분율" xfId="1" builtinId="5"/>
    <cellStyle name="백분율 10" xfId="1274" xr:uid="{00000000-0005-0000-0000-000073080000}"/>
    <cellStyle name="백분율 11" xfId="3022" xr:uid="{00000000-0005-0000-0000-000074080000}"/>
    <cellStyle name="백분율 2" xfId="1275" xr:uid="{00000000-0005-0000-0000-000075080000}"/>
    <cellStyle name="백분율 2 10" xfId="1276" xr:uid="{00000000-0005-0000-0000-000076080000}"/>
    <cellStyle name="백분율 2 11" xfId="1277" xr:uid="{00000000-0005-0000-0000-000077080000}"/>
    <cellStyle name="백분율 2 12" xfId="1278" xr:uid="{00000000-0005-0000-0000-000078080000}"/>
    <cellStyle name="백분율 2 13" xfId="1279" xr:uid="{00000000-0005-0000-0000-000079080000}"/>
    <cellStyle name="백분율 2 14" xfId="1280" xr:uid="{00000000-0005-0000-0000-00007A080000}"/>
    <cellStyle name="백분율 2 15" xfId="1281" xr:uid="{00000000-0005-0000-0000-00007B080000}"/>
    <cellStyle name="백분율 2 16" xfId="1282" xr:uid="{00000000-0005-0000-0000-00007C080000}"/>
    <cellStyle name="백분율 2 17" xfId="1283" xr:uid="{00000000-0005-0000-0000-00007D080000}"/>
    <cellStyle name="백분율 2 18" xfId="1284" xr:uid="{00000000-0005-0000-0000-00007E080000}"/>
    <cellStyle name="백분율 2 19" xfId="1285" xr:uid="{00000000-0005-0000-0000-00007F080000}"/>
    <cellStyle name="백분율 2 2" xfId="1286" xr:uid="{00000000-0005-0000-0000-000080080000}"/>
    <cellStyle name="백분율 2 20" xfId="1287" xr:uid="{00000000-0005-0000-0000-000081080000}"/>
    <cellStyle name="백분율 2 21" xfId="1288" xr:uid="{00000000-0005-0000-0000-000082080000}"/>
    <cellStyle name="백분율 2 22" xfId="1289" xr:uid="{00000000-0005-0000-0000-000083080000}"/>
    <cellStyle name="백분율 2 23" xfId="1290" xr:uid="{00000000-0005-0000-0000-000084080000}"/>
    <cellStyle name="백분율 2 24" xfId="1291" xr:uid="{00000000-0005-0000-0000-000085080000}"/>
    <cellStyle name="백분율 2 25" xfId="1292" xr:uid="{00000000-0005-0000-0000-000086080000}"/>
    <cellStyle name="백분율 2 26" xfId="1293" xr:uid="{00000000-0005-0000-0000-000087080000}"/>
    <cellStyle name="백분율 2 27" xfId="1294" xr:uid="{00000000-0005-0000-0000-000088080000}"/>
    <cellStyle name="백분율 2 28" xfId="1295" xr:uid="{00000000-0005-0000-0000-000089080000}"/>
    <cellStyle name="백분율 2 29" xfId="1296" xr:uid="{00000000-0005-0000-0000-00008A080000}"/>
    <cellStyle name="백분율 2 3" xfId="1297" xr:uid="{00000000-0005-0000-0000-00008B080000}"/>
    <cellStyle name="백분율 2 30" xfId="1298" xr:uid="{00000000-0005-0000-0000-00008C080000}"/>
    <cellStyle name="백분율 2 30 2" xfId="1299" xr:uid="{00000000-0005-0000-0000-00008D080000}"/>
    <cellStyle name="백분율 2 31" xfId="1300" xr:uid="{00000000-0005-0000-0000-00008E080000}"/>
    <cellStyle name="백분율 2 32" xfId="1301" xr:uid="{00000000-0005-0000-0000-00008F080000}"/>
    <cellStyle name="백분율 2 33" xfId="1302" xr:uid="{00000000-0005-0000-0000-000090080000}"/>
    <cellStyle name="백분율 2 34" xfId="1303" xr:uid="{00000000-0005-0000-0000-000091080000}"/>
    <cellStyle name="백분율 2 35" xfId="1304" xr:uid="{00000000-0005-0000-0000-000092080000}"/>
    <cellStyle name="백분율 2 36" xfId="1305" xr:uid="{00000000-0005-0000-0000-000093080000}"/>
    <cellStyle name="백분율 2 37" xfId="1306" xr:uid="{00000000-0005-0000-0000-000094080000}"/>
    <cellStyle name="백분율 2 38" xfId="1307" xr:uid="{00000000-0005-0000-0000-000095080000}"/>
    <cellStyle name="백분율 2 39" xfId="1308" xr:uid="{00000000-0005-0000-0000-000096080000}"/>
    <cellStyle name="백분율 2 4" xfId="1309" xr:uid="{00000000-0005-0000-0000-000097080000}"/>
    <cellStyle name="백분율 2 40" xfId="1310" xr:uid="{00000000-0005-0000-0000-000098080000}"/>
    <cellStyle name="백분율 2 41" xfId="1311" xr:uid="{00000000-0005-0000-0000-000099080000}"/>
    <cellStyle name="백분율 2 42" xfId="2947" xr:uid="{00000000-0005-0000-0000-00009A080000}"/>
    <cellStyle name="백분율 2 5" xfId="1312" xr:uid="{00000000-0005-0000-0000-00009B080000}"/>
    <cellStyle name="백분율 2 6" xfId="1313" xr:uid="{00000000-0005-0000-0000-00009C080000}"/>
    <cellStyle name="백분율 2 7" xfId="1314" xr:uid="{00000000-0005-0000-0000-00009D080000}"/>
    <cellStyle name="백분율 2 8" xfId="1315" xr:uid="{00000000-0005-0000-0000-00009E080000}"/>
    <cellStyle name="백분율 2 9" xfId="1316" xr:uid="{00000000-0005-0000-0000-00009F080000}"/>
    <cellStyle name="백분율 3" xfId="1317" xr:uid="{00000000-0005-0000-0000-0000A0080000}"/>
    <cellStyle name="백분율 3 2" xfId="1318" xr:uid="{00000000-0005-0000-0000-0000A1080000}"/>
    <cellStyle name="백분율 3 3" xfId="1319" xr:uid="{00000000-0005-0000-0000-0000A2080000}"/>
    <cellStyle name="백분율 3 4" xfId="1320" xr:uid="{00000000-0005-0000-0000-0000A3080000}"/>
    <cellStyle name="백분율 3 5" xfId="1321" xr:uid="{00000000-0005-0000-0000-0000A4080000}"/>
    <cellStyle name="백분율 3 6" xfId="1322" xr:uid="{00000000-0005-0000-0000-0000A5080000}"/>
    <cellStyle name="백분율 3 7" xfId="1323" xr:uid="{00000000-0005-0000-0000-0000A6080000}"/>
    <cellStyle name="백분율 3 8" xfId="1324" xr:uid="{00000000-0005-0000-0000-0000A7080000}"/>
    <cellStyle name="백분율 3 9" xfId="1325" xr:uid="{00000000-0005-0000-0000-0000A8080000}"/>
    <cellStyle name="백분율 4" xfId="1326" xr:uid="{00000000-0005-0000-0000-0000A9080000}"/>
    <cellStyle name="백분율 5" xfId="1789" xr:uid="{00000000-0005-0000-0000-0000AA080000}"/>
    <cellStyle name="백분율 5 2" xfId="2709" xr:uid="{00000000-0005-0000-0000-0000AB080000}"/>
    <cellStyle name="백분율 5 2 2" xfId="2798" xr:uid="{00000000-0005-0000-0000-0000AC080000}"/>
    <cellStyle name="백분율 5 2 3" xfId="2837" xr:uid="{00000000-0005-0000-0000-0000AD080000}"/>
    <cellStyle name="백분율 5 2 4" xfId="2869" xr:uid="{00000000-0005-0000-0000-0000AE080000}"/>
    <cellStyle name="백분율 5 2 5" xfId="2923" xr:uid="{00000000-0005-0000-0000-0000AF080000}"/>
    <cellStyle name="백분율 5 3" xfId="2727" xr:uid="{00000000-0005-0000-0000-0000B0080000}"/>
    <cellStyle name="백분율 5 4" xfId="2748" xr:uid="{00000000-0005-0000-0000-0000B1080000}"/>
    <cellStyle name="백분율 5 5" xfId="2822" xr:uid="{00000000-0005-0000-0000-0000B2080000}"/>
    <cellStyle name="백분율 5 6" xfId="2854" xr:uid="{00000000-0005-0000-0000-0000B3080000}"/>
    <cellStyle name="백분율 5 7" xfId="2919" xr:uid="{00000000-0005-0000-0000-0000B4080000}"/>
    <cellStyle name="백분율 6" xfId="1810" xr:uid="{00000000-0005-0000-0000-0000B5080000}"/>
    <cellStyle name="백분율 7" xfId="2675" xr:uid="{00000000-0005-0000-0000-0000B6080000}"/>
    <cellStyle name="백분율 8" xfId="2680" xr:uid="{00000000-0005-0000-0000-0000B7080000}"/>
    <cellStyle name="백분율 8 2" xfId="2948" xr:uid="{00000000-0005-0000-0000-0000B8080000}"/>
    <cellStyle name="백분율 8 3" xfId="2949" xr:uid="{00000000-0005-0000-0000-0000B9080000}"/>
    <cellStyle name="백분율 9" xfId="2881" xr:uid="{00000000-0005-0000-0000-0000BA080000}"/>
    <cellStyle name="보통 10" xfId="1327" xr:uid="{00000000-0005-0000-0000-0000BB080000}"/>
    <cellStyle name="보통 11" xfId="1328" xr:uid="{00000000-0005-0000-0000-0000BC080000}"/>
    <cellStyle name="보통 12" xfId="1329" xr:uid="{00000000-0005-0000-0000-0000BD080000}"/>
    <cellStyle name="보통 2" xfId="1330" xr:uid="{00000000-0005-0000-0000-0000BE080000}"/>
    <cellStyle name="보통 2 2" xfId="1331" xr:uid="{00000000-0005-0000-0000-0000BF080000}"/>
    <cellStyle name="보통 2 3" xfId="1332" xr:uid="{00000000-0005-0000-0000-0000C0080000}"/>
    <cellStyle name="보통 2 4" xfId="1333" xr:uid="{00000000-0005-0000-0000-0000C1080000}"/>
    <cellStyle name="보통 2 5" xfId="1334" xr:uid="{00000000-0005-0000-0000-0000C2080000}"/>
    <cellStyle name="보통 2 6" xfId="1335" xr:uid="{00000000-0005-0000-0000-0000C3080000}"/>
    <cellStyle name="보통 2 7" xfId="1336" xr:uid="{00000000-0005-0000-0000-0000C4080000}"/>
    <cellStyle name="보통 3" xfId="1337" xr:uid="{00000000-0005-0000-0000-0000C5080000}"/>
    <cellStyle name="보통 3 2" xfId="1338" xr:uid="{00000000-0005-0000-0000-0000C6080000}"/>
    <cellStyle name="보통 4" xfId="1339" xr:uid="{00000000-0005-0000-0000-0000C7080000}"/>
    <cellStyle name="보통 5" xfId="1340" xr:uid="{00000000-0005-0000-0000-0000C8080000}"/>
    <cellStyle name="보통 6" xfId="1341" xr:uid="{00000000-0005-0000-0000-0000C9080000}"/>
    <cellStyle name="보통 7" xfId="1342" xr:uid="{00000000-0005-0000-0000-0000CA080000}"/>
    <cellStyle name="보통 8" xfId="1343" xr:uid="{00000000-0005-0000-0000-0000CB080000}"/>
    <cellStyle name="보통 9" xfId="1344" xr:uid="{00000000-0005-0000-0000-0000CC080000}"/>
    <cellStyle name="常规_price-tx" xfId="1345" xr:uid="{00000000-0005-0000-0000-0000CD080000}"/>
    <cellStyle name="설명 텍스트 10" xfId="1346" xr:uid="{00000000-0005-0000-0000-0000CE080000}"/>
    <cellStyle name="설명 텍스트 11" xfId="1347" xr:uid="{00000000-0005-0000-0000-0000CF080000}"/>
    <cellStyle name="설명 텍스트 12" xfId="1348" xr:uid="{00000000-0005-0000-0000-0000D0080000}"/>
    <cellStyle name="설명 텍스트 2" xfId="1349" xr:uid="{00000000-0005-0000-0000-0000D1080000}"/>
    <cellStyle name="설명 텍스트 2 2" xfId="1350" xr:uid="{00000000-0005-0000-0000-0000D2080000}"/>
    <cellStyle name="설명 텍스트 2 3" xfId="1351" xr:uid="{00000000-0005-0000-0000-0000D3080000}"/>
    <cellStyle name="설명 텍스트 2 4" xfId="1352" xr:uid="{00000000-0005-0000-0000-0000D4080000}"/>
    <cellStyle name="설명 텍스트 2 5" xfId="1353" xr:uid="{00000000-0005-0000-0000-0000D5080000}"/>
    <cellStyle name="설명 텍스트 2 6" xfId="1354" xr:uid="{00000000-0005-0000-0000-0000D6080000}"/>
    <cellStyle name="설명 텍스트 2 7" xfId="1355" xr:uid="{00000000-0005-0000-0000-0000D7080000}"/>
    <cellStyle name="설명 텍스트 3" xfId="1356" xr:uid="{00000000-0005-0000-0000-0000D8080000}"/>
    <cellStyle name="설명 텍스트 3 2" xfId="1357" xr:uid="{00000000-0005-0000-0000-0000D9080000}"/>
    <cellStyle name="설명 텍스트 4" xfId="1358" xr:uid="{00000000-0005-0000-0000-0000DA080000}"/>
    <cellStyle name="설명 텍스트 5" xfId="1359" xr:uid="{00000000-0005-0000-0000-0000DB080000}"/>
    <cellStyle name="설명 텍스트 6" xfId="1360" xr:uid="{00000000-0005-0000-0000-0000DC080000}"/>
    <cellStyle name="설명 텍스트 7" xfId="1361" xr:uid="{00000000-0005-0000-0000-0000DD080000}"/>
    <cellStyle name="설명 텍스트 8" xfId="1362" xr:uid="{00000000-0005-0000-0000-0000DE080000}"/>
    <cellStyle name="설명 텍스트 9" xfId="1363" xr:uid="{00000000-0005-0000-0000-0000DF080000}"/>
    <cellStyle name="셀 확인 10" xfId="1364" xr:uid="{00000000-0005-0000-0000-0000E0080000}"/>
    <cellStyle name="셀 확인 11" xfId="1365" xr:uid="{00000000-0005-0000-0000-0000E1080000}"/>
    <cellStyle name="셀 확인 12" xfId="1366" xr:uid="{00000000-0005-0000-0000-0000E2080000}"/>
    <cellStyle name="셀 확인 2" xfId="1367" xr:uid="{00000000-0005-0000-0000-0000E3080000}"/>
    <cellStyle name="셀 확인 2 2" xfId="1368" xr:uid="{00000000-0005-0000-0000-0000E4080000}"/>
    <cellStyle name="셀 확인 2 3" xfId="1369" xr:uid="{00000000-0005-0000-0000-0000E5080000}"/>
    <cellStyle name="셀 확인 2 4" xfId="1370" xr:uid="{00000000-0005-0000-0000-0000E6080000}"/>
    <cellStyle name="셀 확인 2 5" xfId="1371" xr:uid="{00000000-0005-0000-0000-0000E7080000}"/>
    <cellStyle name="셀 확인 2 6" xfId="1372" xr:uid="{00000000-0005-0000-0000-0000E8080000}"/>
    <cellStyle name="셀 확인 2 7" xfId="1373" xr:uid="{00000000-0005-0000-0000-0000E9080000}"/>
    <cellStyle name="셀 확인 3" xfId="1374" xr:uid="{00000000-0005-0000-0000-0000EA080000}"/>
    <cellStyle name="셀 확인 3 2" xfId="1375" xr:uid="{00000000-0005-0000-0000-0000EB080000}"/>
    <cellStyle name="셀 확인 4" xfId="1376" xr:uid="{00000000-0005-0000-0000-0000EC080000}"/>
    <cellStyle name="셀 확인 5" xfId="1377" xr:uid="{00000000-0005-0000-0000-0000ED080000}"/>
    <cellStyle name="셀 확인 6" xfId="1378" xr:uid="{00000000-0005-0000-0000-0000EE080000}"/>
    <cellStyle name="셀 확인 7" xfId="1379" xr:uid="{00000000-0005-0000-0000-0000EF080000}"/>
    <cellStyle name="셀 확인 8" xfId="1380" xr:uid="{00000000-0005-0000-0000-0000F0080000}"/>
    <cellStyle name="셀 확인 9" xfId="1381" xr:uid="{00000000-0005-0000-0000-0000F1080000}"/>
    <cellStyle name="쉼표 [0] 2" xfId="1382" xr:uid="{00000000-0005-0000-0000-0000F3080000}"/>
    <cellStyle name="쉼표 [0] 2 10" xfId="1383" xr:uid="{00000000-0005-0000-0000-0000F4080000}"/>
    <cellStyle name="쉼표 [0] 2 10 2" xfId="1791" xr:uid="{00000000-0005-0000-0000-0000F5080000}"/>
    <cellStyle name="쉼표 [0] 2 11" xfId="1384" xr:uid="{00000000-0005-0000-0000-0000F6080000}"/>
    <cellStyle name="쉼표 [0] 2 12" xfId="1385" xr:uid="{00000000-0005-0000-0000-0000F7080000}"/>
    <cellStyle name="쉼표 [0] 2 13" xfId="1386" xr:uid="{00000000-0005-0000-0000-0000F8080000}"/>
    <cellStyle name="쉼표 [0] 2 14" xfId="1387" xr:uid="{00000000-0005-0000-0000-0000F9080000}"/>
    <cellStyle name="쉼표 [0] 2 15" xfId="1388" xr:uid="{00000000-0005-0000-0000-0000FA080000}"/>
    <cellStyle name="쉼표 [0] 2 16" xfId="1389" xr:uid="{00000000-0005-0000-0000-0000FB080000}"/>
    <cellStyle name="쉼표 [0] 2 17" xfId="1390" xr:uid="{00000000-0005-0000-0000-0000FC080000}"/>
    <cellStyle name="쉼표 [0] 2 2" xfId="1391" xr:uid="{00000000-0005-0000-0000-0000FD080000}"/>
    <cellStyle name="쉼표 [0] 2 2 10" xfId="1392" xr:uid="{00000000-0005-0000-0000-0000FE080000}"/>
    <cellStyle name="쉼표 [0] 2 2 11" xfId="1393" xr:uid="{00000000-0005-0000-0000-0000FF080000}"/>
    <cellStyle name="쉼표 [0] 2 2 12" xfId="1394" xr:uid="{00000000-0005-0000-0000-000000090000}"/>
    <cellStyle name="쉼표 [0] 2 2 13" xfId="1395" xr:uid="{00000000-0005-0000-0000-000001090000}"/>
    <cellStyle name="쉼표 [0] 2 2 14" xfId="1792" xr:uid="{00000000-0005-0000-0000-000002090000}"/>
    <cellStyle name="쉼표 [0] 2 2 2" xfId="1396" xr:uid="{00000000-0005-0000-0000-000003090000}"/>
    <cellStyle name="쉼표 [0] 2 2 2 10" xfId="1397" xr:uid="{00000000-0005-0000-0000-000004090000}"/>
    <cellStyle name="쉼표 [0] 2 2 2 11" xfId="1398" xr:uid="{00000000-0005-0000-0000-000005090000}"/>
    <cellStyle name="쉼표 [0] 2 2 2 12" xfId="1399" xr:uid="{00000000-0005-0000-0000-000006090000}"/>
    <cellStyle name="쉼표 [0] 2 2 2 13" xfId="1400" xr:uid="{00000000-0005-0000-0000-000007090000}"/>
    <cellStyle name="쉼표 [0] 2 2 2 2" xfId="1401" xr:uid="{00000000-0005-0000-0000-000008090000}"/>
    <cellStyle name="쉼표 [0] 2 2 2 2 10" xfId="1402" xr:uid="{00000000-0005-0000-0000-000009090000}"/>
    <cellStyle name="쉼표 [0] 2 2 2 2 11" xfId="1403" xr:uid="{00000000-0005-0000-0000-00000A090000}"/>
    <cellStyle name="쉼표 [0] 2 2 2 2 12" xfId="1404" xr:uid="{00000000-0005-0000-0000-00000B090000}"/>
    <cellStyle name="쉼표 [0] 2 2 2 2 2" xfId="1405" xr:uid="{00000000-0005-0000-0000-00000C090000}"/>
    <cellStyle name="쉼표 [0] 2 2 2 2 2 10" xfId="1406" xr:uid="{00000000-0005-0000-0000-00000D090000}"/>
    <cellStyle name="쉼표 [0] 2 2 2 2 2 11" xfId="1407" xr:uid="{00000000-0005-0000-0000-00000E090000}"/>
    <cellStyle name="쉼표 [0] 2 2 2 2 2 12" xfId="1408" xr:uid="{00000000-0005-0000-0000-00000F090000}"/>
    <cellStyle name="쉼표 [0] 2 2 2 2 2 2" xfId="1409" xr:uid="{00000000-0005-0000-0000-000010090000}"/>
    <cellStyle name="쉼표 [0] 2 2 2 2 2 3" xfId="1410" xr:uid="{00000000-0005-0000-0000-000011090000}"/>
    <cellStyle name="쉼표 [0] 2 2 2 2 2 4" xfId="1411" xr:uid="{00000000-0005-0000-0000-000012090000}"/>
    <cellStyle name="쉼표 [0] 2 2 2 2 2 5" xfId="1412" xr:uid="{00000000-0005-0000-0000-000013090000}"/>
    <cellStyle name="쉼표 [0] 2 2 2 2 2 6" xfId="1413" xr:uid="{00000000-0005-0000-0000-000014090000}"/>
    <cellStyle name="쉼표 [0] 2 2 2 2 2 7" xfId="1414" xr:uid="{00000000-0005-0000-0000-000015090000}"/>
    <cellStyle name="쉼표 [0] 2 2 2 2 2 8" xfId="1415" xr:uid="{00000000-0005-0000-0000-000016090000}"/>
    <cellStyle name="쉼표 [0] 2 2 2 2 2 9" xfId="1416" xr:uid="{00000000-0005-0000-0000-000017090000}"/>
    <cellStyle name="쉼표 [0] 2 2 2 2 3" xfId="1417" xr:uid="{00000000-0005-0000-0000-000018090000}"/>
    <cellStyle name="쉼표 [0] 2 2 2 2 4" xfId="1418" xr:uid="{00000000-0005-0000-0000-000019090000}"/>
    <cellStyle name="쉼표 [0] 2 2 2 2 5" xfId="1419" xr:uid="{00000000-0005-0000-0000-00001A090000}"/>
    <cellStyle name="쉼표 [0] 2 2 2 2 6" xfId="1420" xr:uid="{00000000-0005-0000-0000-00001B090000}"/>
    <cellStyle name="쉼표 [0] 2 2 2 2 7" xfId="1421" xr:uid="{00000000-0005-0000-0000-00001C090000}"/>
    <cellStyle name="쉼표 [0] 2 2 2 2 8" xfId="1422" xr:uid="{00000000-0005-0000-0000-00001D090000}"/>
    <cellStyle name="쉼표 [0] 2 2 2 2 9" xfId="1423" xr:uid="{00000000-0005-0000-0000-00001E090000}"/>
    <cellStyle name="쉼표 [0] 2 2 2 3" xfId="1424" xr:uid="{00000000-0005-0000-0000-00001F090000}"/>
    <cellStyle name="쉼표 [0] 2 2 2 4" xfId="1425" xr:uid="{00000000-0005-0000-0000-000020090000}"/>
    <cellStyle name="쉼표 [0] 2 2 2 5" xfId="1426" xr:uid="{00000000-0005-0000-0000-000021090000}"/>
    <cellStyle name="쉼표 [0] 2 2 2 6" xfId="1427" xr:uid="{00000000-0005-0000-0000-000022090000}"/>
    <cellStyle name="쉼표 [0] 2 2 2 7" xfId="1428" xr:uid="{00000000-0005-0000-0000-000023090000}"/>
    <cellStyle name="쉼표 [0] 2 2 2 8" xfId="1429" xr:uid="{00000000-0005-0000-0000-000024090000}"/>
    <cellStyle name="쉼표 [0] 2 2 2 9" xfId="1430" xr:uid="{00000000-0005-0000-0000-000025090000}"/>
    <cellStyle name="쉼표 [0] 2 2 3" xfId="1431" xr:uid="{00000000-0005-0000-0000-000026090000}"/>
    <cellStyle name="쉼표 [0] 2 2 3 2" xfId="1432" xr:uid="{00000000-0005-0000-0000-000027090000}"/>
    <cellStyle name="쉼표 [0] 2 2 4" xfId="1433" xr:uid="{00000000-0005-0000-0000-000028090000}"/>
    <cellStyle name="쉼표 [0] 2 2 5" xfId="1434" xr:uid="{00000000-0005-0000-0000-000029090000}"/>
    <cellStyle name="쉼표 [0] 2 2 6" xfId="1435" xr:uid="{00000000-0005-0000-0000-00002A090000}"/>
    <cellStyle name="쉼표 [0] 2 2 7" xfId="1436" xr:uid="{00000000-0005-0000-0000-00002B090000}"/>
    <cellStyle name="쉼표 [0] 2 2 8" xfId="1437" xr:uid="{00000000-0005-0000-0000-00002C090000}"/>
    <cellStyle name="쉼표 [0] 2 2 9" xfId="1438" xr:uid="{00000000-0005-0000-0000-00002D090000}"/>
    <cellStyle name="쉼표 [0] 2 3" xfId="1439" xr:uid="{00000000-0005-0000-0000-00002E090000}"/>
    <cellStyle name="쉼표 [0] 2 3 2" xfId="1440" xr:uid="{00000000-0005-0000-0000-00002F090000}"/>
    <cellStyle name="쉼표 [0] 2 4" xfId="1441" xr:uid="{00000000-0005-0000-0000-000030090000}"/>
    <cellStyle name="쉼표 [0] 2 5" xfId="1442" xr:uid="{00000000-0005-0000-0000-000031090000}"/>
    <cellStyle name="쉼표 [0] 2 6" xfId="1443" xr:uid="{00000000-0005-0000-0000-000032090000}"/>
    <cellStyle name="쉼표 [0] 2 6 2" xfId="1444" xr:uid="{00000000-0005-0000-0000-000033090000}"/>
    <cellStyle name="쉼표 [0] 2 7" xfId="1445" xr:uid="{00000000-0005-0000-0000-000034090000}"/>
    <cellStyle name="쉼표 [0] 2 8" xfId="1446" xr:uid="{00000000-0005-0000-0000-000035090000}"/>
    <cellStyle name="쉼표 [0] 2 9" xfId="1447" xr:uid="{00000000-0005-0000-0000-000036090000}"/>
    <cellStyle name="쉼표 [0] 3" xfId="1448" xr:uid="{00000000-0005-0000-0000-000037090000}"/>
    <cellStyle name="쉼표 [0] 3 2" xfId="1449" xr:uid="{00000000-0005-0000-0000-000038090000}"/>
    <cellStyle name="쉼표 [0] 3 3" xfId="1450" xr:uid="{00000000-0005-0000-0000-000039090000}"/>
    <cellStyle name="쉼표 [0] 3 4" xfId="1451" xr:uid="{00000000-0005-0000-0000-00003A090000}"/>
    <cellStyle name="쉼표 [0] 3 5" xfId="1452" xr:uid="{00000000-0005-0000-0000-00003B090000}"/>
    <cellStyle name="쉼표 [0] 4" xfId="1787" xr:uid="{00000000-0005-0000-0000-00003C090000}"/>
    <cellStyle name="쉼표 [0] 4 10" xfId="2852" xr:uid="{00000000-0005-0000-0000-00003D090000}"/>
    <cellStyle name="쉼표 [0] 4 11" xfId="2918" xr:uid="{00000000-0005-0000-0000-00003E090000}"/>
    <cellStyle name="쉼표 [0] 4 2" xfId="1453" xr:uid="{00000000-0005-0000-0000-00003F090000}"/>
    <cellStyle name="쉼표 [0] 4 3" xfId="1454" xr:uid="{00000000-0005-0000-0000-000040090000}"/>
    <cellStyle name="쉼표 [0] 4 4" xfId="1455" xr:uid="{00000000-0005-0000-0000-000041090000}"/>
    <cellStyle name="쉼표 [0] 4 5" xfId="1456" xr:uid="{00000000-0005-0000-0000-000042090000}"/>
    <cellStyle name="쉼표 [0] 4 6" xfId="2707" xr:uid="{00000000-0005-0000-0000-000043090000}"/>
    <cellStyle name="쉼표 [0] 4 6 2" xfId="2796" xr:uid="{00000000-0005-0000-0000-000044090000}"/>
    <cellStyle name="쉼표 [0] 4 6 3" xfId="2835" xr:uid="{00000000-0005-0000-0000-000045090000}"/>
    <cellStyle name="쉼표 [0] 4 6 4" xfId="2867" xr:uid="{00000000-0005-0000-0000-000046090000}"/>
    <cellStyle name="쉼표 [0] 4 7" xfId="2725" xr:uid="{00000000-0005-0000-0000-000047090000}"/>
    <cellStyle name="쉼표 [0] 4 8" xfId="2746" xr:uid="{00000000-0005-0000-0000-000048090000}"/>
    <cellStyle name="쉼표 [0] 4 9" xfId="2820" xr:uid="{00000000-0005-0000-0000-000049090000}"/>
    <cellStyle name="쉼표 [0] 5" xfId="2676" xr:uid="{00000000-0005-0000-0000-00004A090000}"/>
    <cellStyle name="쉼표 [0] 6" xfId="2679" xr:uid="{00000000-0005-0000-0000-00004B090000}"/>
    <cellStyle name="쉼표 [0] 7" xfId="2950" xr:uid="{00000000-0005-0000-0000-00004C090000}"/>
    <cellStyle name="쉼표 10" xfId="1800" xr:uid="{00000000-0005-0000-0000-00004D090000}"/>
    <cellStyle name="쉼표 10 2" xfId="2718" xr:uid="{00000000-0005-0000-0000-00004E090000}"/>
    <cellStyle name="쉼표 10 2 2" xfId="2807" xr:uid="{00000000-0005-0000-0000-00004F090000}"/>
    <cellStyle name="쉼표 10 2 3" xfId="2846" xr:uid="{00000000-0005-0000-0000-000050090000}"/>
    <cellStyle name="쉼표 10 2 4" xfId="2878" xr:uid="{00000000-0005-0000-0000-000051090000}"/>
    <cellStyle name="쉼표 10 3" xfId="2736" xr:uid="{00000000-0005-0000-0000-000052090000}"/>
    <cellStyle name="쉼표 10 4" xfId="2757" xr:uid="{00000000-0005-0000-0000-000053090000}"/>
    <cellStyle name="쉼표 10 5" xfId="2831" xr:uid="{00000000-0005-0000-0000-000054090000}"/>
    <cellStyle name="쉼표 10 6" xfId="2863" xr:uid="{00000000-0005-0000-0000-000055090000}"/>
    <cellStyle name="쉼표 11" xfId="1797" xr:uid="{00000000-0005-0000-0000-000056090000}"/>
    <cellStyle name="쉼표 11 2" xfId="2715" xr:uid="{00000000-0005-0000-0000-000057090000}"/>
    <cellStyle name="쉼표 11 2 2" xfId="2804" xr:uid="{00000000-0005-0000-0000-000058090000}"/>
    <cellStyle name="쉼표 11 2 3" xfId="2843" xr:uid="{00000000-0005-0000-0000-000059090000}"/>
    <cellStyle name="쉼표 11 2 4" xfId="2875" xr:uid="{00000000-0005-0000-0000-00005A090000}"/>
    <cellStyle name="쉼표 11 3" xfId="2733" xr:uid="{00000000-0005-0000-0000-00005B090000}"/>
    <cellStyle name="쉼표 11 4" xfId="2754" xr:uid="{00000000-0005-0000-0000-00005C090000}"/>
    <cellStyle name="쉼표 11 5" xfId="2828" xr:uid="{00000000-0005-0000-0000-00005D090000}"/>
    <cellStyle name="쉼표 11 6" xfId="2860" xr:uid="{00000000-0005-0000-0000-00005E090000}"/>
    <cellStyle name="쉼표 12" xfId="2739" xr:uid="{00000000-0005-0000-0000-00005F090000}"/>
    <cellStyle name="쉼표 13" xfId="2743" xr:uid="{00000000-0005-0000-0000-000060090000}"/>
    <cellStyle name="쉼표 14" xfId="2812" xr:uid="{00000000-0005-0000-0000-000061090000}"/>
    <cellStyle name="쉼표 15" xfId="2817" xr:uid="{00000000-0005-0000-0000-000062090000}"/>
    <cellStyle name="쉼표 16" xfId="2814" xr:uid="{00000000-0005-0000-0000-000063090000}"/>
    <cellStyle name="쉼표 17" xfId="2848" xr:uid="{00000000-0005-0000-0000-000064090000}"/>
    <cellStyle name="쉼표 18" xfId="2951" xr:uid="{00000000-0005-0000-0000-000065090000}"/>
    <cellStyle name="쉼표 19" xfId="2952" xr:uid="{00000000-0005-0000-0000-000066090000}"/>
    <cellStyle name="쉼표 2" xfId="1786" xr:uid="{00000000-0005-0000-0000-000067090000}"/>
    <cellStyle name="쉼표 2 10" xfId="1457" xr:uid="{00000000-0005-0000-0000-000068090000}"/>
    <cellStyle name="쉼표 2 11" xfId="1458" xr:uid="{00000000-0005-0000-0000-000069090000}"/>
    <cellStyle name="쉼표 2 12" xfId="1459" xr:uid="{00000000-0005-0000-0000-00006A090000}"/>
    <cellStyle name="쉼표 2 13" xfId="1460" xr:uid="{00000000-0005-0000-0000-00006B090000}"/>
    <cellStyle name="쉼표 2 14" xfId="1461" xr:uid="{00000000-0005-0000-0000-00006C090000}"/>
    <cellStyle name="쉼표 2 15" xfId="1462" xr:uid="{00000000-0005-0000-0000-00006D090000}"/>
    <cellStyle name="쉼표 2 16" xfId="1463" xr:uid="{00000000-0005-0000-0000-00006E090000}"/>
    <cellStyle name="쉼표 2 17" xfId="1464" xr:uid="{00000000-0005-0000-0000-00006F090000}"/>
    <cellStyle name="쉼표 2 18" xfId="1465" xr:uid="{00000000-0005-0000-0000-000070090000}"/>
    <cellStyle name="쉼표 2 19" xfId="1466" xr:uid="{00000000-0005-0000-0000-000071090000}"/>
    <cellStyle name="쉼표 2 2" xfId="1467" xr:uid="{00000000-0005-0000-0000-000072090000}"/>
    <cellStyle name="쉼표 2 20" xfId="1468" xr:uid="{00000000-0005-0000-0000-000073090000}"/>
    <cellStyle name="쉼표 2 21" xfId="1469" xr:uid="{00000000-0005-0000-0000-000074090000}"/>
    <cellStyle name="쉼표 2 22" xfId="1470" xr:uid="{00000000-0005-0000-0000-000075090000}"/>
    <cellStyle name="쉼표 2 23" xfId="1471" xr:uid="{00000000-0005-0000-0000-000076090000}"/>
    <cellStyle name="쉼표 2 24" xfId="1472" xr:uid="{00000000-0005-0000-0000-000077090000}"/>
    <cellStyle name="쉼표 2 25" xfId="1473" xr:uid="{00000000-0005-0000-0000-000078090000}"/>
    <cellStyle name="쉼표 2 26" xfId="1474" xr:uid="{00000000-0005-0000-0000-000079090000}"/>
    <cellStyle name="쉼표 2 27" xfId="1475" xr:uid="{00000000-0005-0000-0000-00007A090000}"/>
    <cellStyle name="쉼표 2 28" xfId="1476" xr:uid="{00000000-0005-0000-0000-00007B090000}"/>
    <cellStyle name="쉼표 2 29" xfId="1477" xr:uid="{00000000-0005-0000-0000-00007C090000}"/>
    <cellStyle name="쉼표 2 3" xfId="1478" xr:uid="{00000000-0005-0000-0000-00007D090000}"/>
    <cellStyle name="쉼표 2 30" xfId="1479" xr:uid="{00000000-0005-0000-0000-00007E090000}"/>
    <cellStyle name="쉼표 2 31" xfId="1480" xr:uid="{00000000-0005-0000-0000-00007F090000}"/>
    <cellStyle name="쉼표 2 32" xfId="1481" xr:uid="{00000000-0005-0000-0000-000080090000}"/>
    <cellStyle name="쉼표 2 33" xfId="1482" xr:uid="{00000000-0005-0000-0000-000081090000}"/>
    <cellStyle name="쉼표 2 34" xfId="1483" xr:uid="{00000000-0005-0000-0000-000082090000}"/>
    <cellStyle name="쉼표 2 35" xfId="1484" xr:uid="{00000000-0005-0000-0000-000083090000}"/>
    <cellStyle name="쉼표 2 36" xfId="1485" xr:uid="{00000000-0005-0000-0000-000084090000}"/>
    <cellStyle name="쉼표 2 37" xfId="1486" xr:uid="{00000000-0005-0000-0000-000085090000}"/>
    <cellStyle name="쉼표 2 38" xfId="1487" xr:uid="{00000000-0005-0000-0000-000086090000}"/>
    <cellStyle name="쉼표 2 39" xfId="2706" xr:uid="{00000000-0005-0000-0000-000087090000}"/>
    <cellStyle name="쉼표 2 39 2" xfId="2795" xr:uid="{00000000-0005-0000-0000-000088090000}"/>
    <cellStyle name="쉼표 2 39 3" xfId="2834" xr:uid="{00000000-0005-0000-0000-000089090000}"/>
    <cellStyle name="쉼표 2 39 4" xfId="2866" xr:uid="{00000000-0005-0000-0000-00008A090000}"/>
    <cellStyle name="쉼표 2 4" xfId="1488" xr:uid="{00000000-0005-0000-0000-00008B090000}"/>
    <cellStyle name="쉼표 2 40" xfId="2724" xr:uid="{00000000-0005-0000-0000-00008C090000}"/>
    <cellStyle name="쉼표 2 41" xfId="2745" xr:uid="{00000000-0005-0000-0000-00008D090000}"/>
    <cellStyle name="쉼표 2 42" xfId="2819" xr:uid="{00000000-0005-0000-0000-00008E090000}"/>
    <cellStyle name="쉼표 2 43" xfId="2851" xr:uid="{00000000-0005-0000-0000-00008F090000}"/>
    <cellStyle name="쉼표 2 44" xfId="2922" xr:uid="{00000000-0005-0000-0000-000090090000}"/>
    <cellStyle name="쉼표 2 5" xfId="1489" xr:uid="{00000000-0005-0000-0000-000091090000}"/>
    <cellStyle name="쉼표 2 6" xfId="1490" xr:uid="{00000000-0005-0000-0000-000092090000}"/>
    <cellStyle name="쉼표 2 7" xfId="1491" xr:uid="{00000000-0005-0000-0000-000093090000}"/>
    <cellStyle name="쉼표 2 8" xfId="1492" xr:uid="{00000000-0005-0000-0000-000094090000}"/>
    <cellStyle name="쉼표 2 9" xfId="1493" xr:uid="{00000000-0005-0000-0000-000095090000}"/>
    <cellStyle name="쉼표 20" xfId="2953" xr:uid="{00000000-0005-0000-0000-000096090000}"/>
    <cellStyle name="쉼표 21" xfId="2954" xr:uid="{00000000-0005-0000-0000-000097090000}"/>
    <cellStyle name="쉼표 22" xfId="2955" xr:uid="{00000000-0005-0000-0000-000098090000}"/>
    <cellStyle name="쉼표 23" xfId="2956" xr:uid="{00000000-0005-0000-0000-000099090000}"/>
    <cellStyle name="쉼표 24" xfId="2957" xr:uid="{00000000-0005-0000-0000-00009A090000}"/>
    <cellStyle name="쉼표 25" xfId="2958" xr:uid="{00000000-0005-0000-0000-00009B090000}"/>
    <cellStyle name="쉼표 26" xfId="2959" xr:uid="{00000000-0005-0000-0000-00009C090000}"/>
    <cellStyle name="쉼표 27" xfId="2960" xr:uid="{00000000-0005-0000-0000-00009D090000}"/>
    <cellStyle name="쉼표 28" xfId="2961" xr:uid="{00000000-0005-0000-0000-00009E090000}"/>
    <cellStyle name="쉼표 29" xfId="2962" xr:uid="{00000000-0005-0000-0000-00009F090000}"/>
    <cellStyle name="쉼표 3" xfId="1494" xr:uid="{00000000-0005-0000-0000-0000A0090000}"/>
    <cellStyle name="쉼표 3 2" xfId="1495" xr:uid="{00000000-0005-0000-0000-0000A1090000}"/>
    <cellStyle name="쉼표 3 3" xfId="1496" xr:uid="{00000000-0005-0000-0000-0000A2090000}"/>
    <cellStyle name="쉼표 3 4" xfId="1497" xr:uid="{00000000-0005-0000-0000-0000A3090000}"/>
    <cellStyle name="쉼표 3 5" xfId="1498" xr:uid="{00000000-0005-0000-0000-0000A4090000}"/>
    <cellStyle name="쉼표 3 6" xfId="1499" xr:uid="{00000000-0005-0000-0000-0000A5090000}"/>
    <cellStyle name="쉼표 3 7" xfId="1500" xr:uid="{00000000-0005-0000-0000-0000A6090000}"/>
    <cellStyle name="쉼표 3 8" xfId="1501" xr:uid="{00000000-0005-0000-0000-0000A7090000}"/>
    <cellStyle name="쉼표 3 9" xfId="1502" xr:uid="{00000000-0005-0000-0000-0000A8090000}"/>
    <cellStyle name="쉼표 30" xfId="2963" xr:uid="{00000000-0005-0000-0000-0000A9090000}"/>
    <cellStyle name="쉼표 31" xfId="2964" xr:uid="{00000000-0005-0000-0000-0000AA090000}"/>
    <cellStyle name="쉼표 32" xfId="2965" xr:uid="{00000000-0005-0000-0000-0000AB090000}"/>
    <cellStyle name="쉼표 33" xfId="2966" xr:uid="{00000000-0005-0000-0000-0000AC090000}"/>
    <cellStyle name="쉼표 34" xfId="2967" xr:uid="{00000000-0005-0000-0000-0000AD090000}"/>
    <cellStyle name="쉼표 35" xfId="2968" xr:uid="{00000000-0005-0000-0000-0000AE090000}"/>
    <cellStyle name="쉼표 36" xfId="2969" xr:uid="{00000000-0005-0000-0000-0000AF090000}"/>
    <cellStyle name="쉼표 37" xfId="2970" xr:uid="{00000000-0005-0000-0000-0000B0090000}"/>
    <cellStyle name="쉼표 38" xfId="2971" xr:uid="{00000000-0005-0000-0000-0000B1090000}"/>
    <cellStyle name="쉼표 39" xfId="2972" xr:uid="{00000000-0005-0000-0000-0000B2090000}"/>
    <cellStyle name="쉼표 4" xfId="1503" xr:uid="{00000000-0005-0000-0000-0000B3090000}"/>
    <cellStyle name="쉼표 40" xfId="2973" xr:uid="{00000000-0005-0000-0000-0000B4090000}"/>
    <cellStyle name="쉼표 5" xfId="1504" xr:uid="{00000000-0005-0000-0000-0000B5090000}"/>
    <cellStyle name="쉼표 6" xfId="1793" xr:uid="{00000000-0005-0000-0000-0000B6090000}"/>
    <cellStyle name="쉼표 6 10" xfId="2824" xr:uid="{00000000-0005-0000-0000-0000B7090000}"/>
    <cellStyle name="쉼표 6 11" xfId="2856" xr:uid="{00000000-0005-0000-0000-0000B8090000}"/>
    <cellStyle name="쉼표 6 2" xfId="1505" xr:uid="{00000000-0005-0000-0000-0000B9090000}"/>
    <cellStyle name="쉼표 6 3" xfId="1506" xr:uid="{00000000-0005-0000-0000-0000BA090000}"/>
    <cellStyle name="쉼표 6 4" xfId="1507" xr:uid="{00000000-0005-0000-0000-0000BB090000}"/>
    <cellStyle name="쉼표 6 5" xfId="1508" xr:uid="{00000000-0005-0000-0000-0000BC090000}"/>
    <cellStyle name="쉼표 6 6" xfId="1509" xr:uid="{00000000-0005-0000-0000-0000BD090000}"/>
    <cellStyle name="쉼표 6 7" xfId="2711" xr:uid="{00000000-0005-0000-0000-0000BE090000}"/>
    <cellStyle name="쉼표 6 7 2" xfId="2800" xr:uid="{00000000-0005-0000-0000-0000BF090000}"/>
    <cellStyle name="쉼표 6 7 3" xfId="2839" xr:uid="{00000000-0005-0000-0000-0000C0090000}"/>
    <cellStyle name="쉼표 6 7 4" xfId="2871" xr:uid="{00000000-0005-0000-0000-0000C1090000}"/>
    <cellStyle name="쉼표 6 8" xfId="2729" xr:uid="{00000000-0005-0000-0000-0000C2090000}"/>
    <cellStyle name="쉼표 6 9" xfId="2750" xr:uid="{00000000-0005-0000-0000-0000C3090000}"/>
    <cellStyle name="쉼표 7" xfId="1510" xr:uid="{00000000-0005-0000-0000-0000C4090000}"/>
    <cellStyle name="쉼표 8" xfId="1790" xr:uid="{00000000-0005-0000-0000-0000C5090000}"/>
    <cellStyle name="쉼표 8 2" xfId="2710" xr:uid="{00000000-0005-0000-0000-0000C6090000}"/>
    <cellStyle name="쉼표 8 2 2" xfId="2799" xr:uid="{00000000-0005-0000-0000-0000C7090000}"/>
    <cellStyle name="쉼표 8 2 3" xfId="2838" xr:uid="{00000000-0005-0000-0000-0000C8090000}"/>
    <cellStyle name="쉼표 8 2 4" xfId="2870" xr:uid="{00000000-0005-0000-0000-0000C9090000}"/>
    <cellStyle name="쉼표 8 3" xfId="2728" xr:uid="{00000000-0005-0000-0000-0000CA090000}"/>
    <cellStyle name="쉼표 8 4" xfId="2749" xr:uid="{00000000-0005-0000-0000-0000CB090000}"/>
    <cellStyle name="쉼표 8 5" xfId="2823" xr:uid="{00000000-0005-0000-0000-0000CC090000}"/>
    <cellStyle name="쉼표 8 6" xfId="2855" xr:uid="{00000000-0005-0000-0000-0000CD090000}"/>
    <cellStyle name="쉼표 9" xfId="1794" xr:uid="{00000000-0005-0000-0000-0000CE090000}"/>
    <cellStyle name="쉼표 9 2" xfId="2712" xr:uid="{00000000-0005-0000-0000-0000CF090000}"/>
    <cellStyle name="쉼표 9 2 2" xfId="2801" xr:uid="{00000000-0005-0000-0000-0000D0090000}"/>
    <cellStyle name="쉼표 9 2 3" xfId="2840" xr:uid="{00000000-0005-0000-0000-0000D1090000}"/>
    <cellStyle name="쉼표 9 2 4" xfId="2872" xr:uid="{00000000-0005-0000-0000-0000D2090000}"/>
    <cellStyle name="쉼표 9 3" xfId="2730" xr:uid="{00000000-0005-0000-0000-0000D3090000}"/>
    <cellStyle name="쉼표 9 4" xfId="2751" xr:uid="{00000000-0005-0000-0000-0000D4090000}"/>
    <cellStyle name="쉼표 9 5" xfId="2825" xr:uid="{00000000-0005-0000-0000-0000D5090000}"/>
    <cellStyle name="쉼표 9 6" xfId="2857" xr:uid="{00000000-0005-0000-0000-0000D6090000}"/>
    <cellStyle name="스타일 1" xfId="1511" xr:uid="{00000000-0005-0000-0000-0000D7090000}"/>
    <cellStyle name="연결된 셀 10" xfId="1512" xr:uid="{00000000-0005-0000-0000-0000D8090000}"/>
    <cellStyle name="연결된 셀 11" xfId="1513" xr:uid="{00000000-0005-0000-0000-0000D9090000}"/>
    <cellStyle name="연결된 셀 12" xfId="1514" xr:uid="{00000000-0005-0000-0000-0000DA090000}"/>
    <cellStyle name="연결된 셀 2" xfId="1515" xr:uid="{00000000-0005-0000-0000-0000DB090000}"/>
    <cellStyle name="연결된 셀 2 2" xfId="1516" xr:uid="{00000000-0005-0000-0000-0000DC090000}"/>
    <cellStyle name="연결된 셀 2 3" xfId="1517" xr:uid="{00000000-0005-0000-0000-0000DD090000}"/>
    <cellStyle name="연결된 셀 2 4" xfId="1518" xr:uid="{00000000-0005-0000-0000-0000DE090000}"/>
    <cellStyle name="연결된 셀 2 5" xfId="1519" xr:uid="{00000000-0005-0000-0000-0000DF090000}"/>
    <cellStyle name="연결된 셀 2 6" xfId="1520" xr:uid="{00000000-0005-0000-0000-0000E0090000}"/>
    <cellStyle name="연결된 셀 2 7" xfId="1521" xr:uid="{00000000-0005-0000-0000-0000E1090000}"/>
    <cellStyle name="연결된 셀 3" xfId="1522" xr:uid="{00000000-0005-0000-0000-0000E2090000}"/>
    <cellStyle name="연결된 셀 3 2" xfId="1523" xr:uid="{00000000-0005-0000-0000-0000E3090000}"/>
    <cellStyle name="연결된 셀 4" xfId="1524" xr:uid="{00000000-0005-0000-0000-0000E4090000}"/>
    <cellStyle name="연결된 셀 5" xfId="1525" xr:uid="{00000000-0005-0000-0000-0000E5090000}"/>
    <cellStyle name="연결된 셀 6" xfId="1526" xr:uid="{00000000-0005-0000-0000-0000E6090000}"/>
    <cellStyle name="연결된 셀 7" xfId="1527" xr:uid="{00000000-0005-0000-0000-0000E7090000}"/>
    <cellStyle name="연결된 셀 8" xfId="1528" xr:uid="{00000000-0005-0000-0000-0000E8090000}"/>
    <cellStyle name="연결된 셀 9" xfId="1529" xr:uid="{00000000-0005-0000-0000-0000E9090000}"/>
    <cellStyle name="요약 10" xfId="1530" xr:uid="{00000000-0005-0000-0000-0000EA090000}"/>
    <cellStyle name="요약 11" xfId="1531" xr:uid="{00000000-0005-0000-0000-0000EB090000}"/>
    <cellStyle name="요약 12" xfId="1532" xr:uid="{00000000-0005-0000-0000-0000EC090000}"/>
    <cellStyle name="요약 2" xfId="1533" xr:uid="{00000000-0005-0000-0000-0000ED090000}"/>
    <cellStyle name="요약 2 2" xfId="1534" xr:uid="{00000000-0005-0000-0000-0000EE090000}"/>
    <cellStyle name="요약 2 3" xfId="1535" xr:uid="{00000000-0005-0000-0000-0000EF090000}"/>
    <cellStyle name="요약 2 4" xfId="1536" xr:uid="{00000000-0005-0000-0000-0000F0090000}"/>
    <cellStyle name="요약 2 5" xfId="1537" xr:uid="{00000000-0005-0000-0000-0000F1090000}"/>
    <cellStyle name="요약 2 6" xfId="1538" xr:uid="{00000000-0005-0000-0000-0000F2090000}"/>
    <cellStyle name="요약 2 7" xfId="1539" xr:uid="{00000000-0005-0000-0000-0000F3090000}"/>
    <cellStyle name="요약 3" xfId="1540" xr:uid="{00000000-0005-0000-0000-0000F4090000}"/>
    <cellStyle name="요약 3 2" xfId="1541" xr:uid="{00000000-0005-0000-0000-0000F5090000}"/>
    <cellStyle name="요약 4" xfId="1542" xr:uid="{00000000-0005-0000-0000-0000F6090000}"/>
    <cellStyle name="요약 5" xfId="1543" xr:uid="{00000000-0005-0000-0000-0000F7090000}"/>
    <cellStyle name="요약 6" xfId="1544" xr:uid="{00000000-0005-0000-0000-0000F8090000}"/>
    <cellStyle name="요약 7" xfId="1545" xr:uid="{00000000-0005-0000-0000-0000F9090000}"/>
    <cellStyle name="요약 8" xfId="1546" xr:uid="{00000000-0005-0000-0000-0000FA090000}"/>
    <cellStyle name="요약 9" xfId="1547" xr:uid="{00000000-0005-0000-0000-0000FB090000}"/>
    <cellStyle name="一般_FY04 Taiwan Enterprise Sales Forecast - 0304" xfId="1548" xr:uid="{00000000-0005-0000-0000-0000FC090000}"/>
    <cellStyle name="입력 10" xfId="1549" xr:uid="{00000000-0005-0000-0000-0000FD090000}"/>
    <cellStyle name="입력 11" xfId="1550" xr:uid="{00000000-0005-0000-0000-0000FE090000}"/>
    <cellStyle name="입력 12" xfId="1551" xr:uid="{00000000-0005-0000-0000-0000FF090000}"/>
    <cellStyle name="입력 2" xfId="1552" xr:uid="{00000000-0005-0000-0000-0000000A0000}"/>
    <cellStyle name="입력 2 2" xfId="1553" xr:uid="{00000000-0005-0000-0000-0000010A0000}"/>
    <cellStyle name="입력 2 3" xfId="1554" xr:uid="{00000000-0005-0000-0000-0000020A0000}"/>
    <cellStyle name="입력 2 4" xfId="1555" xr:uid="{00000000-0005-0000-0000-0000030A0000}"/>
    <cellStyle name="입력 2 5" xfId="1556" xr:uid="{00000000-0005-0000-0000-0000040A0000}"/>
    <cellStyle name="입력 2 6" xfId="1557" xr:uid="{00000000-0005-0000-0000-0000050A0000}"/>
    <cellStyle name="입력 2 7" xfId="1558" xr:uid="{00000000-0005-0000-0000-0000060A0000}"/>
    <cellStyle name="입력 3" xfId="1559" xr:uid="{00000000-0005-0000-0000-0000070A0000}"/>
    <cellStyle name="입력 3 2" xfId="1560" xr:uid="{00000000-0005-0000-0000-0000080A0000}"/>
    <cellStyle name="입력 4" xfId="1561" xr:uid="{00000000-0005-0000-0000-0000090A0000}"/>
    <cellStyle name="입력 5" xfId="1562" xr:uid="{00000000-0005-0000-0000-00000A0A0000}"/>
    <cellStyle name="입력 6" xfId="1563" xr:uid="{00000000-0005-0000-0000-00000B0A0000}"/>
    <cellStyle name="입력 7" xfId="1564" xr:uid="{00000000-0005-0000-0000-00000C0A0000}"/>
    <cellStyle name="입력 8" xfId="1565" xr:uid="{00000000-0005-0000-0000-00000D0A0000}"/>
    <cellStyle name="입력 9" xfId="1566" xr:uid="{00000000-0005-0000-0000-00000E0A0000}"/>
    <cellStyle name="제목 1 10" xfId="1567" xr:uid="{00000000-0005-0000-0000-00000F0A0000}"/>
    <cellStyle name="제목 1 11" xfId="1568" xr:uid="{00000000-0005-0000-0000-0000100A0000}"/>
    <cellStyle name="제목 1 12" xfId="1569" xr:uid="{00000000-0005-0000-0000-0000110A0000}"/>
    <cellStyle name="제목 1 2" xfId="1570" xr:uid="{00000000-0005-0000-0000-0000120A0000}"/>
    <cellStyle name="제목 1 2 2" xfId="1571" xr:uid="{00000000-0005-0000-0000-0000130A0000}"/>
    <cellStyle name="제목 1 2 3" xfId="1572" xr:uid="{00000000-0005-0000-0000-0000140A0000}"/>
    <cellStyle name="제목 1 2 4" xfId="1573" xr:uid="{00000000-0005-0000-0000-0000150A0000}"/>
    <cellStyle name="제목 1 2 5" xfId="1574" xr:uid="{00000000-0005-0000-0000-0000160A0000}"/>
    <cellStyle name="제목 1 2 6" xfId="1575" xr:uid="{00000000-0005-0000-0000-0000170A0000}"/>
    <cellStyle name="제목 1 2 7" xfId="1576" xr:uid="{00000000-0005-0000-0000-0000180A0000}"/>
    <cellStyle name="제목 1 3" xfId="1577" xr:uid="{00000000-0005-0000-0000-0000190A0000}"/>
    <cellStyle name="제목 1 3 2" xfId="1578" xr:uid="{00000000-0005-0000-0000-00001A0A0000}"/>
    <cellStyle name="제목 1 4" xfId="1579" xr:uid="{00000000-0005-0000-0000-00001B0A0000}"/>
    <cellStyle name="제목 1 5" xfId="1580" xr:uid="{00000000-0005-0000-0000-00001C0A0000}"/>
    <cellStyle name="제목 1 6" xfId="1581" xr:uid="{00000000-0005-0000-0000-00001D0A0000}"/>
    <cellStyle name="제목 1 7" xfId="1582" xr:uid="{00000000-0005-0000-0000-00001E0A0000}"/>
    <cellStyle name="제목 1 8" xfId="1583" xr:uid="{00000000-0005-0000-0000-00001F0A0000}"/>
    <cellStyle name="제목 1 9" xfId="1584" xr:uid="{00000000-0005-0000-0000-0000200A0000}"/>
    <cellStyle name="제목 2 10" xfId="1585" xr:uid="{00000000-0005-0000-0000-0000210A0000}"/>
    <cellStyle name="제목 2 11" xfId="1586" xr:uid="{00000000-0005-0000-0000-0000220A0000}"/>
    <cellStyle name="제목 2 12" xfId="1587" xr:uid="{00000000-0005-0000-0000-0000230A0000}"/>
    <cellStyle name="제목 2 2" xfId="1588" xr:uid="{00000000-0005-0000-0000-0000240A0000}"/>
    <cellStyle name="제목 2 2 2" xfId="1589" xr:uid="{00000000-0005-0000-0000-0000250A0000}"/>
    <cellStyle name="제목 2 2 3" xfId="1590" xr:uid="{00000000-0005-0000-0000-0000260A0000}"/>
    <cellStyle name="제목 2 2 4" xfId="1591" xr:uid="{00000000-0005-0000-0000-0000270A0000}"/>
    <cellStyle name="제목 2 2 5" xfId="1592" xr:uid="{00000000-0005-0000-0000-0000280A0000}"/>
    <cellStyle name="제목 2 2 6" xfId="1593" xr:uid="{00000000-0005-0000-0000-0000290A0000}"/>
    <cellStyle name="제목 2 2 7" xfId="1594" xr:uid="{00000000-0005-0000-0000-00002A0A0000}"/>
    <cellStyle name="제목 2 3" xfId="1595" xr:uid="{00000000-0005-0000-0000-00002B0A0000}"/>
    <cellStyle name="제목 2 3 2" xfId="1596" xr:uid="{00000000-0005-0000-0000-00002C0A0000}"/>
    <cellStyle name="제목 2 4" xfId="1597" xr:uid="{00000000-0005-0000-0000-00002D0A0000}"/>
    <cellStyle name="제목 2 5" xfId="1598" xr:uid="{00000000-0005-0000-0000-00002E0A0000}"/>
    <cellStyle name="제목 2 6" xfId="1599" xr:uid="{00000000-0005-0000-0000-00002F0A0000}"/>
    <cellStyle name="제목 2 7" xfId="1600" xr:uid="{00000000-0005-0000-0000-0000300A0000}"/>
    <cellStyle name="제목 2 8" xfId="1601" xr:uid="{00000000-0005-0000-0000-0000310A0000}"/>
    <cellStyle name="제목 2 9" xfId="1602" xr:uid="{00000000-0005-0000-0000-0000320A0000}"/>
    <cellStyle name="제목 3 10" xfId="1603" xr:uid="{00000000-0005-0000-0000-0000330A0000}"/>
    <cellStyle name="제목 3 11" xfId="1604" xr:uid="{00000000-0005-0000-0000-0000340A0000}"/>
    <cellStyle name="제목 3 12" xfId="1605" xr:uid="{00000000-0005-0000-0000-0000350A0000}"/>
    <cellStyle name="제목 3 2" xfId="1606" xr:uid="{00000000-0005-0000-0000-0000360A0000}"/>
    <cellStyle name="제목 3 2 2" xfId="1607" xr:uid="{00000000-0005-0000-0000-0000370A0000}"/>
    <cellStyle name="제목 3 2 3" xfId="1608" xr:uid="{00000000-0005-0000-0000-0000380A0000}"/>
    <cellStyle name="제목 3 2 4" xfId="1609" xr:uid="{00000000-0005-0000-0000-0000390A0000}"/>
    <cellStyle name="제목 3 2 5" xfId="1610" xr:uid="{00000000-0005-0000-0000-00003A0A0000}"/>
    <cellStyle name="제목 3 2 6" xfId="1611" xr:uid="{00000000-0005-0000-0000-00003B0A0000}"/>
    <cellStyle name="제목 3 2 7" xfId="1612" xr:uid="{00000000-0005-0000-0000-00003C0A0000}"/>
    <cellStyle name="제목 3 3" xfId="1613" xr:uid="{00000000-0005-0000-0000-00003D0A0000}"/>
    <cellStyle name="제목 3 3 2" xfId="1614" xr:uid="{00000000-0005-0000-0000-00003E0A0000}"/>
    <cellStyle name="제목 3 4" xfId="1615" xr:uid="{00000000-0005-0000-0000-00003F0A0000}"/>
    <cellStyle name="제목 3 5" xfId="1616" xr:uid="{00000000-0005-0000-0000-0000400A0000}"/>
    <cellStyle name="제목 3 6" xfId="1617" xr:uid="{00000000-0005-0000-0000-0000410A0000}"/>
    <cellStyle name="제목 3 7" xfId="1618" xr:uid="{00000000-0005-0000-0000-0000420A0000}"/>
    <cellStyle name="제목 3 8" xfId="1619" xr:uid="{00000000-0005-0000-0000-0000430A0000}"/>
    <cellStyle name="제목 3 9" xfId="1620" xr:uid="{00000000-0005-0000-0000-0000440A0000}"/>
    <cellStyle name="제목 4 10" xfId="1621" xr:uid="{00000000-0005-0000-0000-0000450A0000}"/>
    <cellStyle name="제목 4 11" xfId="1622" xr:uid="{00000000-0005-0000-0000-0000460A0000}"/>
    <cellStyle name="제목 4 12" xfId="1623" xr:uid="{00000000-0005-0000-0000-0000470A0000}"/>
    <cellStyle name="제목 4 2" xfId="1624" xr:uid="{00000000-0005-0000-0000-0000480A0000}"/>
    <cellStyle name="제목 4 2 2" xfId="1625" xr:uid="{00000000-0005-0000-0000-0000490A0000}"/>
    <cellStyle name="제목 4 2 3" xfId="1626" xr:uid="{00000000-0005-0000-0000-00004A0A0000}"/>
    <cellStyle name="제목 4 2 4" xfId="1627" xr:uid="{00000000-0005-0000-0000-00004B0A0000}"/>
    <cellStyle name="제목 4 2 5" xfId="1628" xr:uid="{00000000-0005-0000-0000-00004C0A0000}"/>
    <cellStyle name="제목 4 2 6" xfId="1629" xr:uid="{00000000-0005-0000-0000-00004D0A0000}"/>
    <cellStyle name="제목 4 2 7" xfId="1630" xr:uid="{00000000-0005-0000-0000-00004E0A0000}"/>
    <cellStyle name="제목 4 3" xfId="1631" xr:uid="{00000000-0005-0000-0000-00004F0A0000}"/>
    <cellStyle name="제목 4 3 2" xfId="1632" xr:uid="{00000000-0005-0000-0000-0000500A0000}"/>
    <cellStyle name="제목 4 4" xfId="1633" xr:uid="{00000000-0005-0000-0000-0000510A0000}"/>
    <cellStyle name="제목 4 5" xfId="1634" xr:uid="{00000000-0005-0000-0000-0000520A0000}"/>
    <cellStyle name="제목 4 6" xfId="1635" xr:uid="{00000000-0005-0000-0000-0000530A0000}"/>
    <cellStyle name="제목 4 7" xfId="1636" xr:uid="{00000000-0005-0000-0000-0000540A0000}"/>
    <cellStyle name="제목 4 8" xfId="1637" xr:uid="{00000000-0005-0000-0000-0000550A0000}"/>
    <cellStyle name="제목 4 9" xfId="1638" xr:uid="{00000000-0005-0000-0000-0000560A0000}"/>
    <cellStyle name="제목 5" xfId="1639" xr:uid="{00000000-0005-0000-0000-0000570A0000}"/>
    <cellStyle name="제목 5 2" xfId="1640" xr:uid="{00000000-0005-0000-0000-0000580A0000}"/>
    <cellStyle name="제목 5 3" xfId="1641" xr:uid="{00000000-0005-0000-0000-0000590A0000}"/>
    <cellStyle name="제목 6" xfId="1642" xr:uid="{00000000-0005-0000-0000-00005A0A0000}"/>
    <cellStyle name="제목 6 2" xfId="1643" xr:uid="{00000000-0005-0000-0000-00005B0A0000}"/>
    <cellStyle name="제목 7" xfId="1644" xr:uid="{00000000-0005-0000-0000-00005C0A0000}"/>
    <cellStyle name="제목 8" xfId="1645" xr:uid="{00000000-0005-0000-0000-00005D0A0000}"/>
    <cellStyle name="좋음 10" xfId="1646" xr:uid="{00000000-0005-0000-0000-00005E0A0000}"/>
    <cellStyle name="좋음 11" xfId="1647" xr:uid="{00000000-0005-0000-0000-00005F0A0000}"/>
    <cellStyle name="좋음 12" xfId="1648" xr:uid="{00000000-0005-0000-0000-0000600A0000}"/>
    <cellStyle name="좋음 2" xfId="1649" xr:uid="{00000000-0005-0000-0000-0000610A0000}"/>
    <cellStyle name="좋음 2 2" xfId="1650" xr:uid="{00000000-0005-0000-0000-0000620A0000}"/>
    <cellStyle name="좋음 2 3" xfId="1651" xr:uid="{00000000-0005-0000-0000-0000630A0000}"/>
    <cellStyle name="좋음 2 4" xfId="1652" xr:uid="{00000000-0005-0000-0000-0000640A0000}"/>
    <cellStyle name="좋음 2 5" xfId="1653" xr:uid="{00000000-0005-0000-0000-0000650A0000}"/>
    <cellStyle name="좋음 2 6" xfId="1654" xr:uid="{00000000-0005-0000-0000-0000660A0000}"/>
    <cellStyle name="좋음 2 7" xfId="1655" xr:uid="{00000000-0005-0000-0000-0000670A0000}"/>
    <cellStyle name="좋음 3" xfId="1656" xr:uid="{00000000-0005-0000-0000-0000680A0000}"/>
    <cellStyle name="좋음 3 2" xfId="1657" xr:uid="{00000000-0005-0000-0000-0000690A0000}"/>
    <cellStyle name="좋음 4" xfId="1658" xr:uid="{00000000-0005-0000-0000-00006A0A0000}"/>
    <cellStyle name="좋음 5" xfId="1659" xr:uid="{00000000-0005-0000-0000-00006B0A0000}"/>
    <cellStyle name="좋음 6" xfId="1660" xr:uid="{00000000-0005-0000-0000-00006C0A0000}"/>
    <cellStyle name="좋음 7" xfId="1661" xr:uid="{00000000-0005-0000-0000-00006D0A0000}"/>
    <cellStyle name="좋음 8" xfId="1662" xr:uid="{00000000-0005-0000-0000-00006E0A0000}"/>
    <cellStyle name="좋음 9" xfId="1663" xr:uid="{00000000-0005-0000-0000-00006F0A0000}"/>
    <cellStyle name="출력 10" xfId="1664" xr:uid="{00000000-0005-0000-0000-0000700A0000}"/>
    <cellStyle name="출력 11" xfId="1665" xr:uid="{00000000-0005-0000-0000-0000710A0000}"/>
    <cellStyle name="출력 12" xfId="1666" xr:uid="{00000000-0005-0000-0000-0000720A0000}"/>
    <cellStyle name="출력 2" xfId="1667" xr:uid="{00000000-0005-0000-0000-0000730A0000}"/>
    <cellStyle name="출력 2 2" xfId="1668" xr:uid="{00000000-0005-0000-0000-0000740A0000}"/>
    <cellStyle name="출력 2 3" xfId="1669" xr:uid="{00000000-0005-0000-0000-0000750A0000}"/>
    <cellStyle name="출력 2 4" xfId="1670" xr:uid="{00000000-0005-0000-0000-0000760A0000}"/>
    <cellStyle name="출력 2 5" xfId="1671" xr:uid="{00000000-0005-0000-0000-0000770A0000}"/>
    <cellStyle name="출력 2 6" xfId="1672" xr:uid="{00000000-0005-0000-0000-0000780A0000}"/>
    <cellStyle name="출력 2 7" xfId="1673" xr:uid="{00000000-0005-0000-0000-0000790A0000}"/>
    <cellStyle name="출력 3" xfId="1674" xr:uid="{00000000-0005-0000-0000-00007A0A0000}"/>
    <cellStyle name="출력 3 2" xfId="1675" xr:uid="{00000000-0005-0000-0000-00007B0A0000}"/>
    <cellStyle name="출력 4" xfId="1676" xr:uid="{00000000-0005-0000-0000-00007C0A0000}"/>
    <cellStyle name="출력 5" xfId="1677" xr:uid="{00000000-0005-0000-0000-00007D0A0000}"/>
    <cellStyle name="출력 6" xfId="1678" xr:uid="{00000000-0005-0000-0000-00007E0A0000}"/>
    <cellStyle name="출력 7" xfId="1679" xr:uid="{00000000-0005-0000-0000-00007F0A0000}"/>
    <cellStyle name="출력 8" xfId="1680" xr:uid="{00000000-0005-0000-0000-0000800A0000}"/>
    <cellStyle name="출력 9" xfId="1681" xr:uid="{00000000-0005-0000-0000-0000810A0000}"/>
    <cellStyle name="콤마 [0]_#18_upgr" xfId="1682" xr:uid="{00000000-0005-0000-0000-0000820A0000}"/>
    <cellStyle name="콤마_#18_upgr" xfId="1683" xr:uid="{00000000-0005-0000-0000-0000830A0000}"/>
    <cellStyle name="통화 [0] 2" xfId="1684" xr:uid="{00000000-0005-0000-0000-0000840A0000}"/>
    <cellStyle name="통화 [0] 2 2" xfId="1685" xr:uid="{00000000-0005-0000-0000-0000850A0000}"/>
    <cellStyle name="통화 [0] 3" xfId="1686" xr:uid="{00000000-0005-0000-0000-0000860A0000}"/>
    <cellStyle name="통화 [0] 4" xfId="1687" xr:uid="{00000000-0005-0000-0000-0000870A0000}"/>
    <cellStyle name="통화 [0] 5" xfId="1688" xr:uid="{00000000-0005-0000-0000-0000880A0000}"/>
    <cellStyle name="통화 [0] 6" xfId="1689" xr:uid="{00000000-0005-0000-0000-0000890A0000}"/>
    <cellStyle name="통화 [0] 7" xfId="1690" xr:uid="{00000000-0005-0000-0000-00008A0A0000}"/>
    <cellStyle name="통화 [0] 8" xfId="1691" xr:uid="{00000000-0005-0000-0000-00008B0A0000}"/>
    <cellStyle name="통화 10" xfId="2742" xr:uid="{00000000-0005-0000-0000-00008C0A0000}"/>
    <cellStyle name="통화 11" xfId="2813" xr:uid="{00000000-0005-0000-0000-00008D0A0000}"/>
    <cellStyle name="통화 12" xfId="2816" xr:uid="{00000000-0005-0000-0000-00008E0A0000}"/>
    <cellStyle name="통화 13" xfId="2815" xr:uid="{00000000-0005-0000-0000-00008F0A0000}"/>
    <cellStyle name="통화 14" xfId="2849" xr:uid="{00000000-0005-0000-0000-0000900A0000}"/>
    <cellStyle name="통화 15" xfId="2974" xr:uid="{00000000-0005-0000-0000-0000910A0000}"/>
    <cellStyle name="통화 16" xfId="2975" xr:uid="{00000000-0005-0000-0000-0000920A0000}"/>
    <cellStyle name="통화 17" xfId="2976" xr:uid="{00000000-0005-0000-0000-0000930A0000}"/>
    <cellStyle name="통화 18" xfId="2977" xr:uid="{00000000-0005-0000-0000-0000940A0000}"/>
    <cellStyle name="통화 19" xfId="2978" xr:uid="{00000000-0005-0000-0000-0000950A0000}"/>
    <cellStyle name="통화 2" xfId="4" xr:uid="{00000000-0005-0000-0000-0000960A0000}"/>
    <cellStyle name="통화 2 2" xfId="3021" xr:uid="{00000000-0005-0000-0000-0000970A0000}"/>
    <cellStyle name="통화 20" xfId="2979" xr:uid="{00000000-0005-0000-0000-0000980A0000}"/>
    <cellStyle name="통화 21" xfId="2980" xr:uid="{00000000-0005-0000-0000-0000990A0000}"/>
    <cellStyle name="통화 22" xfId="2981" xr:uid="{00000000-0005-0000-0000-00009A0A0000}"/>
    <cellStyle name="통화 23" xfId="2982" xr:uid="{00000000-0005-0000-0000-00009B0A0000}"/>
    <cellStyle name="통화 24" xfId="2983" xr:uid="{00000000-0005-0000-0000-00009C0A0000}"/>
    <cellStyle name="통화 25" xfId="2984" xr:uid="{00000000-0005-0000-0000-00009D0A0000}"/>
    <cellStyle name="통화 26" xfId="2985" xr:uid="{00000000-0005-0000-0000-00009E0A0000}"/>
    <cellStyle name="통화 27" xfId="2986" xr:uid="{00000000-0005-0000-0000-00009F0A0000}"/>
    <cellStyle name="통화 28" xfId="2987" xr:uid="{00000000-0005-0000-0000-0000A00A0000}"/>
    <cellStyle name="통화 29" xfId="2988" xr:uid="{00000000-0005-0000-0000-0000A10A0000}"/>
    <cellStyle name="통화 3" xfId="1788" xr:uid="{00000000-0005-0000-0000-0000A20A0000}"/>
    <cellStyle name="통화 3 2" xfId="2708" xr:uid="{00000000-0005-0000-0000-0000A30A0000}"/>
    <cellStyle name="통화 3 2 2" xfId="2797" xr:uid="{00000000-0005-0000-0000-0000A40A0000}"/>
    <cellStyle name="통화 3 2 3" xfId="2836" xr:uid="{00000000-0005-0000-0000-0000A50A0000}"/>
    <cellStyle name="통화 3 2 4" xfId="2868" xr:uid="{00000000-0005-0000-0000-0000A60A0000}"/>
    <cellStyle name="통화 3 3" xfId="2726" xr:uid="{00000000-0005-0000-0000-0000A70A0000}"/>
    <cellStyle name="통화 3 4" xfId="2747" xr:uid="{00000000-0005-0000-0000-0000A80A0000}"/>
    <cellStyle name="통화 3 5" xfId="2821" xr:uid="{00000000-0005-0000-0000-0000A90A0000}"/>
    <cellStyle name="통화 3 6" xfId="2853" xr:uid="{00000000-0005-0000-0000-0000AA0A0000}"/>
    <cellStyle name="통화 3 7" xfId="2920" xr:uid="{00000000-0005-0000-0000-0000AB0A0000}"/>
    <cellStyle name="통화 30" xfId="2989" xr:uid="{00000000-0005-0000-0000-0000AC0A0000}"/>
    <cellStyle name="통화 31" xfId="2990" xr:uid="{00000000-0005-0000-0000-0000AD0A0000}"/>
    <cellStyle name="통화 32" xfId="2991" xr:uid="{00000000-0005-0000-0000-0000AE0A0000}"/>
    <cellStyle name="통화 33" xfId="2992" xr:uid="{00000000-0005-0000-0000-0000AF0A0000}"/>
    <cellStyle name="통화 34" xfId="2993" xr:uid="{00000000-0005-0000-0000-0000B00A0000}"/>
    <cellStyle name="통화 35" xfId="2994" xr:uid="{00000000-0005-0000-0000-0000B10A0000}"/>
    <cellStyle name="통화 36" xfId="2995" xr:uid="{00000000-0005-0000-0000-0000B20A0000}"/>
    <cellStyle name="통화 37" xfId="2996" xr:uid="{00000000-0005-0000-0000-0000B30A0000}"/>
    <cellStyle name="통화 38" xfId="3018" xr:uid="{00000000-0005-0000-0000-0000B40A0000}"/>
    <cellStyle name="통화 39" xfId="3023" xr:uid="{00000000-0005-0000-0000-0000B50A0000}"/>
    <cellStyle name="통화 4" xfId="1795" xr:uid="{00000000-0005-0000-0000-0000B60A0000}"/>
    <cellStyle name="통화 4 2" xfId="2713" xr:uid="{00000000-0005-0000-0000-0000B70A0000}"/>
    <cellStyle name="통화 4 2 2" xfId="2802" xr:uid="{00000000-0005-0000-0000-0000B80A0000}"/>
    <cellStyle name="통화 4 2 3" xfId="2841" xr:uid="{00000000-0005-0000-0000-0000B90A0000}"/>
    <cellStyle name="통화 4 2 4" xfId="2873" xr:uid="{00000000-0005-0000-0000-0000BA0A0000}"/>
    <cellStyle name="통화 4 3" xfId="2731" xr:uid="{00000000-0005-0000-0000-0000BB0A0000}"/>
    <cellStyle name="통화 4 4" xfId="2752" xr:uid="{00000000-0005-0000-0000-0000BC0A0000}"/>
    <cellStyle name="통화 4 5" xfId="2826" xr:uid="{00000000-0005-0000-0000-0000BD0A0000}"/>
    <cellStyle name="통화 4 6" xfId="2858" xr:uid="{00000000-0005-0000-0000-0000BE0A0000}"/>
    <cellStyle name="통화 4 7" xfId="2921" xr:uid="{00000000-0005-0000-0000-0000BF0A0000}"/>
    <cellStyle name="통화 40" xfId="3024" xr:uid="{00000000-0005-0000-0000-0000C00A0000}"/>
    <cellStyle name="통화 5" xfId="1796" xr:uid="{00000000-0005-0000-0000-0000C10A0000}"/>
    <cellStyle name="통화 5 2" xfId="2714" xr:uid="{00000000-0005-0000-0000-0000C20A0000}"/>
    <cellStyle name="통화 5 2 2" xfId="2803" xr:uid="{00000000-0005-0000-0000-0000C30A0000}"/>
    <cellStyle name="통화 5 2 3" xfId="2842" xr:uid="{00000000-0005-0000-0000-0000C40A0000}"/>
    <cellStyle name="통화 5 2 4" xfId="2874" xr:uid="{00000000-0005-0000-0000-0000C50A0000}"/>
    <cellStyle name="통화 5 3" xfId="2732" xr:uid="{00000000-0005-0000-0000-0000C60A0000}"/>
    <cellStyle name="통화 5 4" xfId="2753" xr:uid="{00000000-0005-0000-0000-0000C70A0000}"/>
    <cellStyle name="통화 5 5" xfId="2827" xr:uid="{00000000-0005-0000-0000-0000C80A0000}"/>
    <cellStyle name="통화 5 6" xfId="2859" xr:uid="{00000000-0005-0000-0000-0000C90A0000}"/>
    <cellStyle name="통화 6" xfId="1799" xr:uid="{00000000-0005-0000-0000-0000CA0A0000}"/>
    <cellStyle name="통화 6 2" xfId="2717" xr:uid="{00000000-0005-0000-0000-0000CB0A0000}"/>
    <cellStyle name="통화 6 2 2" xfId="2806" xr:uid="{00000000-0005-0000-0000-0000CC0A0000}"/>
    <cellStyle name="통화 6 2 3" xfId="2845" xr:uid="{00000000-0005-0000-0000-0000CD0A0000}"/>
    <cellStyle name="통화 6 2 4" xfId="2877" xr:uid="{00000000-0005-0000-0000-0000CE0A0000}"/>
    <cellStyle name="통화 6 3" xfId="2735" xr:uid="{00000000-0005-0000-0000-0000CF0A0000}"/>
    <cellStyle name="통화 6 4" xfId="2756" xr:uid="{00000000-0005-0000-0000-0000D00A0000}"/>
    <cellStyle name="통화 6 5" xfId="2830" xr:uid="{00000000-0005-0000-0000-0000D10A0000}"/>
    <cellStyle name="통화 6 6" xfId="2862" xr:uid="{00000000-0005-0000-0000-0000D20A0000}"/>
    <cellStyle name="통화 7" xfId="1798" xr:uid="{00000000-0005-0000-0000-0000D30A0000}"/>
    <cellStyle name="통화 7 2" xfId="2716" xr:uid="{00000000-0005-0000-0000-0000D40A0000}"/>
    <cellStyle name="통화 7 2 2" xfId="2805" xr:uid="{00000000-0005-0000-0000-0000D50A0000}"/>
    <cellStyle name="통화 7 2 3" xfId="2844" xr:uid="{00000000-0005-0000-0000-0000D60A0000}"/>
    <cellStyle name="통화 7 2 4" xfId="2876" xr:uid="{00000000-0005-0000-0000-0000D70A0000}"/>
    <cellStyle name="통화 7 3" xfId="2734" xr:uid="{00000000-0005-0000-0000-0000D80A0000}"/>
    <cellStyle name="통화 7 4" xfId="2755" xr:uid="{00000000-0005-0000-0000-0000D90A0000}"/>
    <cellStyle name="통화 7 5" xfId="2829" xr:uid="{00000000-0005-0000-0000-0000DA0A0000}"/>
    <cellStyle name="통화 7 6" xfId="2861" xr:uid="{00000000-0005-0000-0000-0000DB0A0000}"/>
    <cellStyle name="통화 8" xfId="1801" xr:uid="{00000000-0005-0000-0000-0000DC0A0000}"/>
    <cellStyle name="통화 8 2" xfId="2719" xr:uid="{00000000-0005-0000-0000-0000DD0A0000}"/>
    <cellStyle name="통화 8 2 2" xfId="2808" xr:uid="{00000000-0005-0000-0000-0000DE0A0000}"/>
    <cellStyle name="통화 8 2 3" xfId="2847" xr:uid="{00000000-0005-0000-0000-0000DF0A0000}"/>
    <cellStyle name="통화 8 2 4" xfId="2879" xr:uid="{00000000-0005-0000-0000-0000E00A0000}"/>
    <cellStyle name="통화 8 3" xfId="2737" xr:uid="{00000000-0005-0000-0000-0000E10A0000}"/>
    <cellStyle name="통화 8 4" xfId="2758" xr:uid="{00000000-0005-0000-0000-0000E20A0000}"/>
    <cellStyle name="통화 8 5" xfId="2832" xr:uid="{00000000-0005-0000-0000-0000E30A0000}"/>
    <cellStyle name="통화 8 6" xfId="2864" xr:uid="{00000000-0005-0000-0000-0000E40A0000}"/>
    <cellStyle name="통화 9" xfId="2740" xr:uid="{00000000-0005-0000-0000-0000E50A0000}"/>
    <cellStyle name="표준" xfId="0" builtinId="0"/>
    <cellStyle name="표준 10" xfId="1692" xr:uid="{00000000-0005-0000-0000-0000E70A0000}"/>
    <cellStyle name="표준 10 2" xfId="1693" xr:uid="{00000000-0005-0000-0000-0000E80A0000}"/>
    <cellStyle name="표준 10 3" xfId="2687" xr:uid="{00000000-0005-0000-0000-0000E90A0000}"/>
    <cellStyle name="표준 10 3 2" xfId="2778" xr:uid="{00000000-0005-0000-0000-0000EA0A0000}"/>
    <cellStyle name="표준 10 3 3" xfId="2759" xr:uid="{00000000-0005-0000-0000-0000EB0A0000}"/>
    <cellStyle name="표준 10 4" xfId="2640" xr:uid="{00000000-0005-0000-0000-0000EC0A0000}"/>
    <cellStyle name="표준 10 5" xfId="2997" xr:uid="{00000000-0005-0000-0000-0000ED0A0000}"/>
    <cellStyle name="표준 11" xfId="2641" xr:uid="{00000000-0005-0000-0000-0000EE0A0000}"/>
    <cellStyle name="표준 11 2" xfId="1694" xr:uid="{00000000-0005-0000-0000-0000EF0A0000}"/>
    <cellStyle name="표준 11 3" xfId="2760" xr:uid="{00000000-0005-0000-0000-0000F00A0000}"/>
    <cellStyle name="표준 11 4" xfId="2741" xr:uid="{00000000-0005-0000-0000-0000F10A0000}"/>
    <cellStyle name="표준 11 5" xfId="2998" xr:uid="{00000000-0005-0000-0000-0000F20A0000}"/>
    <cellStyle name="표준 12" xfId="1695" xr:uid="{00000000-0005-0000-0000-0000F30A0000}"/>
    <cellStyle name="표준 12 2" xfId="2688" xr:uid="{00000000-0005-0000-0000-0000F40A0000}"/>
    <cellStyle name="표준 12 2 2" xfId="2779" xr:uid="{00000000-0005-0000-0000-0000F50A0000}"/>
    <cellStyle name="표준 12 2 3" xfId="2761" xr:uid="{00000000-0005-0000-0000-0000F60A0000}"/>
    <cellStyle name="표준 12 3" xfId="2642" xr:uid="{00000000-0005-0000-0000-0000F70A0000}"/>
    <cellStyle name="표준 12 4" xfId="2999" xr:uid="{00000000-0005-0000-0000-0000F80A0000}"/>
    <cellStyle name="표준 13" xfId="1696" xr:uid="{00000000-0005-0000-0000-0000F90A0000}"/>
    <cellStyle name="표준 13 2" xfId="2689" xr:uid="{00000000-0005-0000-0000-0000FA0A0000}"/>
    <cellStyle name="표준 13 2 2" xfId="2780" xr:uid="{00000000-0005-0000-0000-0000FB0A0000}"/>
    <cellStyle name="표준 13 2 3" xfId="2762" xr:uid="{00000000-0005-0000-0000-0000FC0A0000}"/>
    <cellStyle name="표준 13 3" xfId="2643" xr:uid="{00000000-0005-0000-0000-0000FD0A0000}"/>
    <cellStyle name="표준 13 4" xfId="3000" xr:uid="{00000000-0005-0000-0000-0000FE0A0000}"/>
    <cellStyle name="표준 14" xfId="1697" xr:uid="{00000000-0005-0000-0000-0000FF0A0000}"/>
    <cellStyle name="표준 14 2" xfId="2690" xr:uid="{00000000-0005-0000-0000-0000000B0000}"/>
    <cellStyle name="표준 14 2 2" xfId="2777" xr:uid="{00000000-0005-0000-0000-0000010B0000}"/>
    <cellStyle name="표준 14 2 3" xfId="2763" xr:uid="{00000000-0005-0000-0000-0000020B0000}"/>
    <cellStyle name="표준 14 3" xfId="2644" xr:uid="{00000000-0005-0000-0000-0000030B0000}"/>
    <cellStyle name="표준 14 4" xfId="3001" xr:uid="{00000000-0005-0000-0000-0000040B0000}"/>
    <cellStyle name="표준 15" xfId="1698" xr:uid="{00000000-0005-0000-0000-0000050B0000}"/>
    <cellStyle name="표준 15 2" xfId="2691" xr:uid="{00000000-0005-0000-0000-0000060B0000}"/>
    <cellStyle name="표준 15 2 2" xfId="2781" xr:uid="{00000000-0005-0000-0000-0000070B0000}"/>
    <cellStyle name="표준 15 2 3" xfId="2764" xr:uid="{00000000-0005-0000-0000-0000080B0000}"/>
    <cellStyle name="표준 15 3" xfId="2645" xr:uid="{00000000-0005-0000-0000-0000090B0000}"/>
    <cellStyle name="표준 15 4" xfId="3002" xr:uid="{00000000-0005-0000-0000-00000A0B0000}"/>
    <cellStyle name="표준 16" xfId="1699" xr:uid="{00000000-0005-0000-0000-00000B0B0000}"/>
    <cellStyle name="표준 16 2" xfId="2692" xr:uid="{00000000-0005-0000-0000-00000C0B0000}"/>
    <cellStyle name="표준 16 2 2" xfId="2782" xr:uid="{00000000-0005-0000-0000-00000D0B0000}"/>
    <cellStyle name="표준 16 2 3" xfId="2765" xr:uid="{00000000-0005-0000-0000-00000E0B0000}"/>
    <cellStyle name="표준 16 3" xfId="2646" xr:uid="{00000000-0005-0000-0000-00000F0B0000}"/>
    <cellStyle name="표준 16 4" xfId="3003" xr:uid="{00000000-0005-0000-0000-0000100B0000}"/>
    <cellStyle name="표준 17" xfId="1700" xr:uid="{00000000-0005-0000-0000-0000110B0000}"/>
    <cellStyle name="표준 17 2" xfId="2693" xr:uid="{00000000-0005-0000-0000-0000120B0000}"/>
    <cellStyle name="표준 17 2 2" xfId="2783" xr:uid="{00000000-0005-0000-0000-0000130B0000}"/>
    <cellStyle name="표준 17 2 3" xfId="2766" xr:uid="{00000000-0005-0000-0000-0000140B0000}"/>
    <cellStyle name="표준 17 3" xfId="2647" xr:uid="{00000000-0005-0000-0000-0000150B0000}"/>
    <cellStyle name="표준 17 4" xfId="3004" xr:uid="{00000000-0005-0000-0000-0000160B0000}"/>
    <cellStyle name="표준 18" xfId="1701" xr:uid="{00000000-0005-0000-0000-0000170B0000}"/>
    <cellStyle name="표준 18 2" xfId="2694" xr:uid="{00000000-0005-0000-0000-0000180B0000}"/>
    <cellStyle name="표준 18 2 2" xfId="2785" xr:uid="{00000000-0005-0000-0000-0000190B0000}"/>
    <cellStyle name="표준 18 2 3" xfId="2767" xr:uid="{00000000-0005-0000-0000-00001A0B0000}"/>
    <cellStyle name="표준 18 3" xfId="2648" xr:uid="{00000000-0005-0000-0000-00001B0B0000}"/>
    <cellStyle name="표준 18 4" xfId="3005" xr:uid="{00000000-0005-0000-0000-00001C0B0000}"/>
    <cellStyle name="표준 19" xfId="1702" xr:uid="{00000000-0005-0000-0000-00001D0B0000}"/>
    <cellStyle name="표준 19 2" xfId="2695" xr:uid="{00000000-0005-0000-0000-00001E0B0000}"/>
    <cellStyle name="표준 19 2 2" xfId="2784" xr:uid="{00000000-0005-0000-0000-00001F0B0000}"/>
    <cellStyle name="표준 19 2 3" xfId="2768" xr:uid="{00000000-0005-0000-0000-0000200B0000}"/>
    <cellStyle name="표준 19 3" xfId="2649" xr:uid="{00000000-0005-0000-0000-0000210B0000}"/>
    <cellStyle name="표준 19 4" xfId="3006" xr:uid="{00000000-0005-0000-0000-0000220B0000}"/>
    <cellStyle name="표준 2" xfId="2" xr:uid="{00000000-0005-0000-0000-0000230B0000}"/>
    <cellStyle name="표준 2 10" xfId="1703" xr:uid="{00000000-0005-0000-0000-0000240B0000}"/>
    <cellStyle name="표준 2 11" xfId="1704" xr:uid="{00000000-0005-0000-0000-0000250B0000}"/>
    <cellStyle name="표준 2 12" xfId="1705" xr:uid="{00000000-0005-0000-0000-0000260B0000}"/>
    <cellStyle name="표준 2 13" xfId="1706" xr:uid="{00000000-0005-0000-0000-0000270B0000}"/>
    <cellStyle name="표준 2 14" xfId="1707" xr:uid="{00000000-0005-0000-0000-0000280B0000}"/>
    <cellStyle name="표준 2 15" xfId="1708" xr:uid="{00000000-0005-0000-0000-0000290B0000}"/>
    <cellStyle name="표준 2 16" xfId="1709" xr:uid="{00000000-0005-0000-0000-00002A0B0000}"/>
    <cellStyle name="표준 2 17" xfId="1710" xr:uid="{00000000-0005-0000-0000-00002B0B0000}"/>
    <cellStyle name="표준 2 18" xfId="1711" xr:uid="{00000000-0005-0000-0000-00002C0B0000}"/>
    <cellStyle name="표준 2 19" xfId="1712" xr:uid="{00000000-0005-0000-0000-00002D0B0000}"/>
    <cellStyle name="표준 2 2" xfId="1713" xr:uid="{00000000-0005-0000-0000-00002E0B0000}"/>
    <cellStyle name="표준 2 20" xfId="1714" xr:uid="{00000000-0005-0000-0000-00002F0B0000}"/>
    <cellStyle name="표준 2 21" xfId="1715" xr:uid="{00000000-0005-0000-0000-0000300B0000}"/>
    <cellStyle name="표준 2 22" xfId="1716" xr:uid="{00000000-0005-0000-0000-0000310B0000}"/>
    <cellStyle name="표준 2 23" xfId="1717" xr:uid="{00000000-0005-0000-0000-0000320B0000}"/>
    <cellStyle name="표준 2 24" xfId="1718" xr:uid="{00000000-0005-0000-0000-0000330B0000}"/>
    <cellStyle name="표준 2 25" xfId="1719" xr:uid="{00000000-0005-0000-0000-0000340B0000}"/>
    <cellStyle name="표준 2 26" xfId="1720" xr:uid="{00000000-0005-0000-0000-0000350B0000}"/>
    <cellStyle name="표준 2 27" xfId="1721" xr:uid="{00000000-0005-0000-0000-0000360B0000}"/>
    <cellStyle name="표준 2 28" xfId="1722" xr:uid="{00000000-0005-0000-0000-0000370B0000}"/>
    <cellStyle name="표준 2 29" xfId="1723" xr:uid="{00000000-0005-0000-0000-0000380B0000}"/>
    <cellStyle name="표준 2 3" xfId="1724" xr:uid="{00000000-0005-0000-0000-0000390B0000}"/>
    <cellStyle name="표준 2 30" xfId="1725" xr:uid="{00000000-0005-0000-0000-00003A0B0000}"/>
    <cellStyle name="표준 2 30 2" xfId="1726" xr:uid="{00000000-0005-0000-0000-00003B0B0000}"/>
    <cellStyle name="표준 2 31" xfId="1727" xr:uid="{00000000-0005-0000-0000-00003C0B0000}"/>
    <cellStyle name="표준 2 32" xfId="1728" xr:uid="{00000000-0005-0000-0000-00003D0B0000}"/>
    <cellStyle name="표준 2 33" xfId="1729" xr:uid="{00000000-0005-0000-0000-00003E0B0000}"/>
    <cellStyle name="표준 2 34" xfId="1730" xr:uid="{00000000-0005-0000-0000-00003F0B0000}"/>
    <cellStyle name="표준 2 35" xfId="1731" xr:uid="{00000000-0005-0000-0000-0000400B0000}"/>
    <cellStyle name="표준 2 36" xfId="1732" xr:uid="{00000000-0005-0000-0000-0000410B0000}"/>
    <cellStyle name="표준 2 37" xfId="1733" xr:uid="{00000000-0005-0000-0000-0000420B0000}"/>
    <cellStyle name="표준 2 38" xfId="1734" xr:uid="{00000000-0005-0000-0000-0000430B0000}"/>
    <cellStyle name="표준 2 39" xfId="1735" xr:uid="{00000000-0005-0000-0000-0000440B0000}"/>
    <cellStyle name="표준 2 4" xfId="1736" xr:uid="{00000000-0005-0000-0000-0000450B0000}"/>
    <cellStyle name="표준 2 40" xfId="1737" xr:uid="{00000000-0005-0000-0000-0000460B0000}"/>
    <cellStyle name="표준 2 41" xfId="1738" xr:uid="{00000000-0005-0000-0000-0000470B0000}"/>
    <cellStyle name="표준 2 42" xfId="2677" xr:uid="{00000000-0005-0000-0000-0000480B0000}"/>
    <cellStyle name="표준 2 43" xfId="3019" xr:uid="{00000000-0005-0000-0000-0000490B0000}"/>
    <cellStyle name="표준 2 5" xfId="1739" xr:uid="{00000000-0005-0000-0000-00004A0B0000}"/>
    <cellStyle name="표준 2 6" xfId="1740" xr:uid="{00000000-0005-0000-0000-00004B0B0000}"/>
    <cellStyle name="표준 2 7" xfId="1741" xr:uid="{00000000-0005-0000-0000-00004C0B0000}"/>
    <cellStyle name="표준 2 8" xfId="1742" xr:uid="{00000000-0005-0000-0000-00004D0B0000}"/>
    <cellStyle name="표준 2 9" xfId="1743" xr:uid="{00000000-0005-0000-0000-00004E0B0000}"/>
    <cellStyle name="표준 20" xfId="1744" xr:uid="{00000000-0005-0000-0000-00004F0B0000}"/>
    <cellStyle name="표준 20 2" xfId="2696" xr:uid="{00000000-0005-0000-0000-0000500B0000}"/>
    <cellStyle name="표준 20 2 2" xfId="2786" xr:uid="{00000000-0005-0000-0000-0000510B0000}"/>
    <cellStyle name="표준 20 2 3" xfId="2769" xr:uid="{00000000-0005-0000-0000-0000520B0000}"/>
    <cellStyle name="표준 20 3" xfId="2650" xr:uid="{00000000-0005-0000-0000-0000530B0000}"/>
    <cellStyle name="표준 20 4" xfId="3007" xr:uid="{00000000-0005-0000-0000-0000540B0000}"/>
    <cellStyle name="표준 21" xfId="1745" xr:uid="{00000000-0005-0000-0000-0000550B0000}"/>
    <cellStyle name="표준 21 2" xfId="2697" xr:uid="{00000000-0005-0000-0000-0000560B0000}"/>
    <cellStyle name="표준 21 2 2" xfId="2787" xr:uid="{00000000-0005-0000-0000-0000570B0000}"/>
    <cellStyle name="표준 21 2 3" xfId="2770" xr:uid="{00000000-0005-0000-0000-0000580B0000}"/>
    <cellStyle name="표준 21 3" xfId="2651" xr:uid="{00000000-0005-0000-0000-0000590B0000}"/>
    <cellStyle name="표준 21 4" xfId="3008" xr:uid="{00000000-0005-0000-0000-00005A0B0000}"/>
    <cellStyle name="표준 22" xfId="1746" xr:uid="{00000000-0005-0000-0000-00005B0B0000}"/>
    <cellStyle name="표준 22 2" xfId="2698" xr:uid="{00000000-0005-0000-0000-00005C0B0000}"/>
    <cellStyle name="표준 22 2 2" xfId="2788" xr:uid="{00000000-0005-0000-0000-00005D0B0000}"/>
    <cellStyle name="표준 22 2 3" xfId="2771" xr:uid="{00000000-0005-0000-0000-00005E0B0000}"/>
    <cellStyle name="표준 22 3" xfId="2652" xr:uid="{00000000-0005-0000-0000-00005F0B0000}"/>
    <cellStyle name="표준 22 4" xfId="3009" xr:uid="{00000000-0005-0000-0000-0000600B0000}"/>
    <cellStyle name="표준 23" xfId="1747" xr:uid="{00000000-0005-0000-0000-0000610B0000}"/>
    <cellStyle name="표준 23 2" xfId="2699" xr:uid="{00000000-0005-0000-0000-0000620B0000}"/>
    <cellStyle name="표준 23 2 2" xfId="2789" xr:uid="{00000000-0005-0000-0000-0000630B0000}"/>
    <cellStyle name="표준 23 2 3" xfId="2772" xr:uid="{00000000-0005-0000-0000-0000640B0000}"/>
    <cellStyle name="표준 23 3" xfId="2653" xr:uid="{00000000-0005-0000-0000-0000650B0000}"/>
    <cellStyle name="표준 23 4" xfId="3010" xr:uid="{00000000-0005-0000-0000-0000660B0000}"/>
    <cellStyle name="표준 24" xfId="2654" xr:uid="{00000000-0005-0000-0000-0000670B0000}"/>
    <cellStyle name="표준 25" xfId="2655" xr:uid="{00000000-0005-0000-0000-0000680B0000}"/>
    <cellStyle name="표준 26" xfId="2656" xr:uid="{00000000-0005-0000-0000-0000690B0000}"/>
    <cellStyle name="표준 27" xfId="1748" xr:uid="{00000000-0005-0000-0000-00006A0B0000}"/>
    <cellStyle name="표준 27 2" xfId="2700" xr:uid="{00000000-0005-0000-0000-00006B0B0000}"/>
    <cellStyle name="표준 27 2 2" xfId="2790" xr:uid="{00000000-0005-0000-0000-00006C0B0000}"/>
    <cellStyle name="표준 27 2 3" xfId="2773" xr:uid="{00000000-0005-0000-0000-00006D0B0000}"/>
    <cellStyle name="표준 27 3" xfId="2657" xr:uid="{00000000-0005-0000-0000-00006E0B0000}"/>
    <cellStyle name="표준 27 4" xfId="3011" xr:uid="{00000000-0005-0000-0000-00006F0B0000}"/>
    <cellStyle name="표준 28" xfId="2658" xr:uid="{00000000-0005-0000-0000-0000700B0000}"/>
    <cellStyle name="표준 29" xfId="2659" xr:uid="{00000000-0005-0000-0000-0000710B0000}"/>
    <cellStyle name="표준 3" xfId="1785" xr:uid="{00000000-0005-0000-0000-0000720B0000}"/>
    <cellStyle name="표준 3 10" xfId="1749" xr:uid="{00000000-0005-0000-0000-0000730B0000}"/>
    <cellStyle name="표준 3 11" xfId="2591" xr:uid="{00000000-0005-0000-0000-0000740B0000}"/>
    <cellStyle name="표준 3 11 2" xfId="3012" xr:uid="{00000000-0005-0000-0000-0000750B0000}"/>
    <cellStyle name="표준 3 12" xfId="2705" xr:uid="{00000000-0005-0000-0000-0000760B0000}"/>
    <cellStyle name="표준 3 12 2" xfId="2793" xr:uid="{00000000-0005-0000-0000-0000770B0000}"/>
    <cellStyle name="표준 3 12 3" xfId="2833" xr:uid="{00000000-0005-0000-0000-0000780B0000}"/>
    <cellStyle name="표준 3 12 4" xfId="2865" xr:uid="{00000000-0005-0000-0000-0000790B0000}"/>
    <cellStyle name="표준 3 13" xfId="2723" xr:uid="{00000000-0005-0000-0000-00007A0B0000}"/>
    <cellStyle name="표준 3 14" xfId="2744" xr:uid="{00000000-0005-0000-0000-00007B0B0000}"/>
    <cellStyle name="표준 3 15" xfId="2818" xr:uid="{00000000-0005-0000-0000-00007C0B0000}"/>
    <cellStyle name="표준 3 16" xfId="2850" xr:uid="{00000000-0005-0000-0000-00007D0B0000}"/>
    <cellStyle name="표준 3 17" xfId="2917" xr:uid="{00000000-0005-0000-0000-00007E0B0000}"/>
    <cellStyle name="표준 3 18" xfId="3020" xr:uid="{00000000-0005-0000-0000-00007F0B0000}"/>
    <cellStyle name="표준 3 2" xfId="1750" xr:uid="{00000000-0005-0000-0000-0000800B0000}"/>
    <cellStyle name="표준 3 3" xfId="1751" xr:uid="{00000000-0005-0000-0000-0000810B0000}"/>
    <cellStyle name="표준 3 4" xfId="1752" xr:uid="{00000000-0005-0000-0000-0000820B0000}"/>
    <cellStyle name="표준 3 5" xfId="1753" xr:uid="{00000000-0005-0000-0000-0000830B0000}"/>
    <cellStyle name="표준 3 6" xfId="1754" xr:uid="{00000000-0005-0000-0000-0000840B0000}"/>
    <cellStyle name="표준 3 7" xfId="1755" xr:uid="{00000000-0005-0000-0000-0000850B0000}"/>
    <cellStyle name="표준 3 8" xfId="1756" xr:uid="{00000000-0005-0000-0000-0000860B0000}"/>
    <cellStyle name="표준 3 9" xfId="1757" xr:uid="{00000000-0005-0000-0000-0000870B0000}"/>
    <cellStyle name="표준 30" xfId="2660" xr:uid="{00000000-0005-0000-0000-0000880B0000}"/>
    <cellStyle name="표준 31" xfId="2661" xr:uid="{00000000-0005-0000-0000-0000890B0000}"/>
    <cellStyle name="표준 32" xfId="2662" xr:uid="{00000000-0005-0000-0000-00008A0B0000}"/>
    <cellStyle name="표준 33" xfId="2663" xr:uid="{00000000-0005-0000-0000-00008B0B0000}"/>
    <cellStyle name="표준 34" xfId="2664" xr:uid="{00000000-0005-0000-0000-00008C0B0000}"/>
    <cellStyle name="표준 35" xfId="2665" xr:uid="{00000000-0005-0000-0000-00008D0B0000}"/>
    <cellStyle name="표준 36" xfId="2666" xr:uid="{00000000-0005-0000-0000-00008E0B0000}"/>
    <cellStyle name="표준 37" xfId="2667" xr:uid="{00000000-0005-0000-0000-00008F0B0000}"/>
    <cellStyle name="표준 38" xfId="2668" xr:uid="{00000000-0005-0000-0000-0000900B0000}"/>
    <cellStyle name="표준 39" xfId="2669" xr:uid="{00000000-0005-0000-0000-0000910B0000}"/>
    <cellStyle name="표준 4" xfId="3" xr:uid="{00000000-0005-0000-0000-0000920B0000}"/>
    <cellStyle name="표준 4 2" xfId="1758" xr:uid="{00000000-0005-0000-0000-0000930B0000}"/>
    <cellStyle name="표준 4 3" xfId="1759" xr:uid="{00000000-0005-0000-0000-0000940B0000}"/>
    <cellStyle name="표준 4 4" xfId="1760" xr:uid="{00000000-0005-0000-0000-0000950B0000}"/>
    <cellStyle name="표준 4 5" xfId="2592" xr:uid="{00000000-0005-0000-0000-0000960B0000}"/>
    <cellStyle name="표준 4 6" xfId="2678" xr:uid="{00000000-0005-0000-0000-0000970B0000}"/>
    <cellStyle name="표준 40" xfId="2670" xr:uid="{00000000-0005-0000-0000-0000980B0000}"/>
    <cellStyle name="표준 41" xfId="2674" xr:uid="{00000000-0005-0000-0000-0000990B0000}"/>
    <cellStyle name="표준 41 2" xfId="2809" xr:uid="{00000000-0005-0000-0000-00009A0B0000}"/>
    <cellStyle name="표준 42" xfId="2681" xr:uid="{00000000-0005-0000-0000-00009B0B0000}"/>
    <cellStyle name="표준 42 2" xfId="2810" xr:uid="{00000000-0005-0000-0000-00009C0B0000}"/>
    <cellStyle name="표준 43" xfId="2811" xr:uid="{00000000-0005-0000-0000-00009D0B0000}"/>
    <cellStyle name="표준 44" xfId="2912" xr:uid="{00000000-0005-0000-0000-00009E0B0000}"/>
    <cellStyle name="표준 44 2" xfId="3013" xr:uid="{00000000-0005-0000-0000-00009F0B0000}"/>
    <cellStyle name="표준 45" xfId="2913" xr:uid="{00000000-0005-0000-0000-0000A00B0000}"/>
    <cellStyle name="표준 46" xfId="2914" xr:uid="{00000000-0005-0000-0000-0000A10B0000}"/>
    <cellStyle name="표준 47" xfId="2915" xr:uid="{00000000-0005-0000-0000-0000A20B0000}"/>
    <cellStyle name="표준 48" xfId="2880" xr:uid="{00000000-0005-0000-0000-0000A30B0000}"/>
    <cellStyle name="표준 49" xfId="2916" xr:uid="{00000000-0005-0000-0000-0000A40B0000}"/>
    <cellStyle name="표준 5" xfId="1761" xr:uid="{00000000-0005-0000-0000-0000A50B0000}"/>
    <cellStyle name="표준 5 10" xfId="2593" xr:uid="{00000000-0005-0000-0000-0000A60B0000}"/>
    <cellStyle name="표준 5 11" xfId="2701" xr:uid="{00000000-0005-0000-0000-0000A70B0000}"/>
    <cellStyle name="표준 5 2" xfId="1762" xr:uid="{00000000-0005-0000-0000-0000A80B0000}"/>
    <cellStyle name="표준 5 3" xfId="1763" xr:uid="{00000000-0005-0000-0000-0000A90B0000}"/>
    <cellStyle name="표준 5 4" xfId="1764" xr:uid="{00000000-0005-0000-0000-0000AA0B0000}"/>
    <cellStyle name="표준 5 5" xfId="1765" xr:uid="{00000000-0005-0000-0000-0000AB0B0000}"/>
    <cellStyle name="표준 5 6" xfId="1766" xr:uid="{00000000-0005-0000-0000-0000AC0B0000}"/>
    <cellStyle name="표준 5 7" xfId="1767" xr:uid="{00000000-0005-0000-0000-0000AD0B0000}"/>
    <cellStyle name="표준 5 8" xfId="1768" xr:uid="{00000000-0005-0000-0000-0000AE0B0000}"/>
    <cellStyle name="표준 5 9" xfId="1769" xr:uid="{00000000-0005-0000-0000-0000AF0B0000}"/>
    <cellStyle name="표준 50" xfId="3017" xr:uid="{00000000-0005-0000-0000-0000B00B0000}"/>
    <cellStyle name="표준 51" xfId="3025" xr:uid="{00000000-0005-0000-0000-0000B10B0000}"/>
    <cellStyle name="표준 6" xfId="1770" xr:uid="{00000000-0005-0000-0000-0000B20B0000}"/>
    <cellStyle name="표준 6 2" xfId="2594" xr:uid="{00000000-0005-0000-0000-0000B30B0000}"/>
    <cellStyle name="표준 6 3" xfId="2702" xr:uid="{00000000-0005-0000-0000-0000B40B0000}"/>
    <cellStyle name="표준 7" xfId="1802" xr:uid="{00000000-0005-0000-0000-0000B50B0000}"/>
    <cellStyle name="표준 7 2" xfId="1771" xr:uid="{00000000-0005-0000-0000-0000B60B0000}"/>
    <cellStyle name="표준 7 3" xfId="2720" xr:uid="{00000000-0005-0000-0000-0000B70B0000}"/>
    <cellStyle name="표준 7 3 2" xfId="2794" xr:uid="{00000000-0005-0000-0000-0000B80B0000}"/>
    <cellStyle name="표준 7 3 3" xfId="2774" xr:uid="{00000000-0005-0000-0000-0000B90B0000}"/>
    <cellStyle name="표준 7 4" xfId="2671" xr:uid="{00000000-0005-0000-0000-0000BA0B0000}"/>
    <cellStyle name="표준 7 5" xfId="3014" xr:uid="{00000000-0005-0000-0000-0000BB0B0000}"/>
    <cellStyle name="표준 8" xfId="1772" xr:uid="{00000000-0005-0000-0000-0000BC0B0000}"/>
    <cellStyle name="표준 8 2" xfId="2703" xr:uid="{00000000-0005-0000-0000-0000BD0B0000}"/>
    <cellStyle name="표준 8 2 2" xfId="2791" xr:uid="{00000000-0005-0000-0000-0000BE0B0000}"/>
    <cellStyle name="표준 8 2 3" xfId="2775" xr:uid="{00000000-0005-0000-0000-0000BF0B0000}"/>
    <cellStyle name="표준 8 3" xfId="2672" xr:uid="{00000000-0005-0000-0000-0000C00B0000}"/>
    <cellStyle name="표준 8 4" xfId="3015" xr:uid="{00000000-0005-0000-0000-0000C10B0000}"/>
    <cellStyle name="표준 9" xfId="1773" xr:uid="{00000000-0005-0000-0000-0000C20B0000}"/>
    <cellStyle name="표준 9 2" xfId="1774" xr:uid="{00000000-0005-0000-0000-0000C30B0000}"/>
    <cellStyle name="표준 9 3" xfId="1775" xr:uid="{00000000-0005-0000-0000-0000C40B0000}"/>
    <cellStyle name="표준 9 4" xfId="2704" xr:uid="{00000000-0005-0000-0000-0000C50B0000}"/>
    <cellStyle name="표준 9 4 2" xfId="2792" xr:uid="{00000000-0005-0000-0000-0000C60B0000}"/>
    <cellStyle name="표준 9 4 3" xfId="2776" xr:uid="{00000000-0005-0000-0000-0000C70B0000}"/>
    <cellStyle name="표준 9 5" xfId="2673" xr:uid="{00000000-0005-0000-0000-0000C80B0000}"/>
    <cellStyle name="표준 9 6" xfId="3016" xr:uid="{00000000-0005-0000-0000-0000C90B0000}"/>
    <cellStyle name="標準_Pack Info" xfId="1776" xr:uid="{00000000-0005-0000-0000-0000CA0B0000}"/>
    <cellStyle name="하이퍼링크 2 2" xfId="1777" xr:uid="{00000000-0005-0000-0000-0000CC0B0000}"/>
    <cellStyle name="하이퍼링크 2 3" xfId="1778" xr:uid="{00000000-0005-0000-0000-0000CD0B0000}"/>
    <cellStyle name="하이퍼링크 2 4" xfId="1779" xr:uid="{00000000-0005-0000-0000-0000CE0B0000}"/>
    <cellStyle name="하이퍼링크 2 5" xfId="1780" xr:uid="{00000000-0005-0000-0000-0000CF0B0000}"/>
    <cellStyle name="하이퍼링크 3 2" xfId="1781" xr:uid="{00000000-0005-0000-0000-0000D00B0000}"/>
    <cellStyle name="하이퍼링크 3 3" xfId="1782" xr:uid="{00000000-0005-0000-0000-0000D10B0000}"/>
    <cellStyle name="하이퍼링크 3 4" xfId="1783" xr:uid="{00000000-0005-0000-0000-0000D20B0000}"/>
    <cellStyle name="하이퍼링크 3 5" xfId="1784" xr:uid="{00000000-0005-0000-0000-0000D30B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R4"/>
  <sheetViews>
    <sheetView tabSelected="1" zoomScale="90" zoomScaleNormal="90" workbookViewId="0">
      <selection activeCell="K11" sqref="K11:K12"/>
    </sheetView>
  </sheetViews>
  <sheetFormatPr defaultColWidth="9" defaultRowHeight="16.5"/>
  <cols>
    <col min="2" max="2" width="30.625" bestFit="1" customWidth="1"/>
    <col min="3" max="4" width="5.625" customWidth="1"/>
    <col min="5" max="5" width="12.75" style="1" bestFit="1" customWidth="1"/>
    <col min="6" max="6" width="13.625" customWidth="1"/>
    <col min="7" max="7" width="5.125" bestFit="1" customWidth="1"/>
    <col min="8" max="8" width="7.25" bestFit="1" customWidth="1"/>
    <col min="9" max="9" width="14.25" bestFit="1" customWidth="1"/>
    <col min="10" max="11" width="15.625" customWidth="1"/>
    <col min="12" max="12" width="6.5" bestFit="1" customWidth="1"/>
    <col min="13" max="14" width="14.125" style="3" customWidth="1"/>
    <col min="15" max="15" width="15.125" customWidth="1"/>
    <col min="16" max="16" width="7.25" style="2" bestFit="1" customWidth="1"/>
    <col min="17" max="17" width="32.625" style="2" bestFit="1" customWidth="1"/>
    <col min="18" max="18" width="28.625" style="2" bestFit="1" customWidth="1"/>
  </cols>
  <sheetData>
    <row r="2" spans="2:18" ht="17.25" customHeight="1">
      <c r="B2" s="4" t="s">
        <v>4</v>
      </c>
      <c r="C2" s="5" t="s">
        <v>5</v>
      </c>
      <c r="D2" s="5" t="s">
        <v>6</v>
      </c>
      <c r="E2" s="4" t="s">
        <v>7</v>
      </c>
      <c r="F2" s="4" t="s">
        <v>8</v>
      </c>
      <c r="G2" s="4" t="s">
        <v>9</v>
      </c>
      <c r="H2" s="6" t="s">
        <v>10</v>
      </c>
      <c r="I2" s="4" t="s">
        <v>11</v>
      </c>
      <c r="J2" s="4" t="s">
        <v>12</v>
      </c>
      <c r="K2" s="4" t="s">
        <v>12</v>
      </c>
      <c r="L2" s="7" t="s">
        <v>9</v>
      </c>
      <c r="M2" s="8" t="s">
        <v>13</v>
      </c>
      <c r="N2" s="8" t="s">
        <v>14</v>
      </c>
      <c r="O2" s="4" t="s">
        <v>15</v>
      </c>
      <c r="P2" s="9" t="s">
        <v>16</v>
      </c>
      <c r="Q2" s="18"/>
      <c r="R2" s="18"/>
    </row>
    <row r="3" spans="2:18">
      <c r="B3" s="19"/>
      <c r="C3" s="20"/>
      <c r="D3" s="20"/>
      <c r="E3" s="21"/>
      <c r="F3" s="10"/>
      <c r="G3" s="11"/>
      <c r="H3" s="12"/>
      <c r="I3" s="13"/>
      <c r="J3" s="13"/>
      <c r="K3" s="14"/>
      <c r="L3" s="22"/>
      <c r="M3" s="15"/>
      <c r="N3" s="16"/>
      <c r="O3" s="14"/>
      <c r="P3" s="17"/>
      <c r="Q3" s="29"/>
      <c r="R3" s="30"/>
    </row>
    <row r="4" spans="2:18">
      <c r="F4" s="26">
        <f>SUM(F3:F3)</f>
        <v>0</v>
      </c>
      <c r="J4" s="26">
        <f>SUM(J3:J3)</f>
        <v>0</v>
      </c>
      <c r="K4" s="24">
        <f>SUM(K3:K3)</f>
        <v>0</v>
      </c>
      <c r="N4" s="24">
        <f>SUM(N3:N3)</f>
        <v>0</v>
      </c>
      <c r="O4" s="24">
        <f>SUM(O3:O3)</f>
        <v>0</v>
      </c>
      <c r="P4" s="25" t="e">
        <f>O4/N4</f>
        <v>#DIV/0!</v>
      </c>
      <c r="Q4" s="18"/>
      <c r="R4" s="18"/>
    </row>
  </sheetData>
  <phoneticPr fontId="14" type="noConversion"/>
  <pageMargins left="0.15748031496062992" right="0.15748031496062992" top="0.74803149606299213" bottom="0.74803149606299213" header="0.31496062992125984" footer="0.31496062992125984"/>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43"/>
  <sheetViews>
    <sheetView zoomScale="90" zoomScaleNormal="90" workbookViewId="0">
      <selection activeCell="U11" sqref="U11"/>
    </sheetView>
  </sheetViews>
  <sheetFormatPr defaultColWidth="9" defaultRowHeight="16.5"/>
  <cols>
    <col min="1" max="1" width="8.75" customWidth="1"/>
    <col min="2" max="2" width="30.625" bestFit="1" customWidth="1"/>
    <col min="3" max="3" width="5.625" customWidth="1"/>
    <col min="4" max="4" width="10.625" style="1" customWidth="1"/>
    <col min="5" max="5" width="13.625" customWidth="1"/>
    <col min="6" max="6" width="5.125" bestFit="1" customWidth="1"/>
    <col min="7" max="7" width="7.25" bestFit="1" customWidth="1"/>
    <col min="8" max="8" width="14.25" bestFit="1" customWidth="1"/>
    <col min="9" max="10" width="15.625" customWidth="1"/>
    <col min="11" max="11" width="6.5" bestFit="1" customWidth="1"/>
    <col min="12" max="13" width="14.125" style="3" customWidth="1"/>
    <col min="14" max="14" width="15.125" customWidth="1"/>
    <col min="15" max="15" width="7.25" style="2" bestFit="1" customWidth="1"/>
    <col min="16" max="16" width="7.25" style="2" customWidth="1"/>
  </cols>
  <sheetData>
    <row r="1" spans="1:18" ht="17.25">
      <c r="B1" s="27" t="s">
        <v>18</v>
      </c>
    </row>
    <row r="2" spans="1:18" ht="17.25" customHeight="1">
      <c r="B2" s="33" t="s">
        <v>0</v>
      </c>
      <c r="C2" s="37"/>
      <c r="D2" s="37"/>
      <c r="E2" s="37"/>
      <c r="F2" s="37" t="s">
        <v>1</v>
      </c>
      <c r="G2" s="37"/>
      <c r="H2" s="34"/>
      <c r="I2" s="37" t="s">
        <v>2</v>
      </c>
      <c r="J2" s="37"/>
      <c r="L2" s="35"/>
      <c r="M2" s="35"/>
      <c r="N2" s="36" t="s">
        <v>3</v>
      </c>
      <c r="O2" s="18"/>
      <c r="P2" s="18"/>
    </row>
    <row r="3" spans="1:18" ht="17.25" customHeight="1">
      <c r="B3" s="4" t="s">
        <v>4</v>
      </c>
      <c r="C3" s="5" t="s">
        <v>5</v>
      </c>
      <c r="D3" s="4" t="s">
        <v>19</v>
      </c>
      <c r="E3" s="4" t="s">
        <v>8</v>
      </c>
      <c r="F3" s="4" t="s">
        <v>9</v>
      </c>
      <c r="G3" s="6" t="s">
        <v>10</v>
      </c>
      <c r="H3" s="4" t="s">
        <v>11</v>
      </c>
      <c r="I3" s="4" t="s">
        <v>12</v>
      </c>
      <c r="J3" s="4" t="s">
        <v>12</v>
      </c>
      <c r="K3" s="7" t="s">
        <v>9</v>
      </c>
      <c r="L3" s="8" t="s">
        <v>13</v>
      </c>
      <c r="M3" s="8" t="s">
        <v>14</v>
      </c>
      <c r="N3" s="4" t="s">
        <v>15</v>
      </c>
      <c r="O3" s="9" t="s">
        <v>16</v>
      </c>
      <c r="P3" s="31"/>
    </row>
    <row r="4" spans="1:18">
      <c r="A4" t="s">
        <v>20</v>
      </c>
      <c r="B4" s="19" t="s">
        <v>21</v>
      </c>
      <c r="C4" s="20">
        <v>1</v>
      </c>
      <c r="D4" s="21">
        <v>4800</v>
      </c>
      <c r="E4" s="10">
        <f>D4*C4</f>
        <v>4800</v>
      </c>
      <c r="F4" s="11">
        <v>0.25</v>
      </c>
      <c r="G4" s="23">
        <v>1450</v>
      </c>
      <c r="H4" s="13">
        <f>I4/C4</f>
        <v>3600</v>
      </c>
      <c r="I4" s="13">
        <f>D4*(1-F4)*C4</f>
        <v>3600</v>
      </c>
      <c r="J4" s="14">
        <f>I4*G4</f>
        <v>5220000</v>
      </c>
      <c r="K4" s="22">
        <v>0.55000000000000004</v>
      </c>
      <c r="L4" s="15">
        <f>ROUND(D4*3000,-3)</f>
        <v>14400000</v>
      </c>
      <c r="M4" s="16">
        <f>ROUND(L4*(1-K4),-3)*C4</f>
        <v>6480000</v>
      </c>
      <c r="N4" s="14">
        <f>M4-J4</f>
        <v>1260000</v>
      </c>
      <c r="O4" s="17">
        <f>N4/M4</f>
        <v>0.19444444444444445</v>
      </c>
      <c r="P4" s="29"/>
      <c r="Q4" t="s">
        <v>22</v>
      </c>
      <c r="R4" t="s">
        <v>23</v>
      </c>
    </row>
    <row r="5" spans="1:18">
      <c r="A5" t="s">
        <v>24</v>
      </c>
      <c r="B5" s="19" t="s">
        <v>25</v>
      </c>
      <c r="C5" s="20">
        <v>1</v>
      </c>
      <c r="D5" s="21">
        <v>10080</v>
      </c>
      <c r="E5" s="10">
        <f t="shared" ref="E5:E6" si="0">D5*C5</f>
        <v>10080</v>
      </c>
      <c r="F5" s="11">
        <v>0.25</v>
      </c>
      <c r="G5" s="12">
        <f>G4</f>
        <v>1450</v>
      </c>
      <c r="H5" s="13">
        <f t="shared" ref="H5:H6" si="1">I5/C5</f>
        <v>7560</v>
      </c>
      <c r="I5" s="13">
        <f t="shared" ref="I5:I6" si="2">D5*(1-F5)*C5</f>
        <v>7560</v>
      </c>
      <c r="J5" s="14">
        <f t="shared" ref="J5:J6" si="3">I5*G5</f>
        <v>10962000</v>
      </c>
      <c r="K5" s="22">
        <v>0.52</v>
      </c>
      <c r="L5" s="15">
        <f t="shared" ref="L5:L6" si="4">ROUND(D5*3000,-3)</f>
        <v>30240000</v>
      </c>
      <c r="M5" s="16">
        <f t="shared" ref="M5:M6" si="5">ROUND(L5*(1-K5),-3)*C5</f>
        <v>14515000</v>
      </c>
      <c r="N5" s="14">
        <f t="shared" ref="N5:N6" si="6">M5-J5</f>
        <v>3553000</v>
      </c>
      <c r="O5" s="17">
        <f t="shared" ref="O5:O6" si="7">N5/M5</f>
        <v>0.24478126076472614</v>
      </c>
      <c r="P5" s="29"/>
      <c r="Q5" t="s">
        <v>26</v>
      </c>
      <c r="R5" t="s">
        <v>23</v>
      </c>
    </row>
    <row r="6" spans="1:18">
      <c r="A6" t="s">
        <v>27</v>
      </c>
      <c r="B6" s="19" t="s">
        <v>28</v>
      </c>
      <c r="C6" s="20">
        <v>1</v>
      </c>
      <c r="D6" s="21">
        <v>16800</v>
      </c>
      <c r="E6" s="10">
        <f t="shared" si="0"/>
        <v>16800</v>
      </c>
      <c r="F6" s="11">
        <v>0.25</v>
      </c>
      <c r="G6" s="12">
        <f t="shared" ref="G6" si="8">G5</f>
        <v>1450</v>
      </c>
      <c r="H6" s="13">
        <f t="shared" si="1"/>
        <v>12600</v>
      </c>
      <c r="I6" s="13">
        <f t="shared" si="2"/>
        <v>12600</v>
      </c>
      <c r="J6" s="14">
        <f t="shared" si="3"/>
        <v>18270000</v>
      </c>
      <c r="K6" s="22">
        <v>0.55000000000000004</v>
      </c>
      <c r="L6" s="15">
        <f t="shared" si="4"/>
        <v>50400000</v>
      </c>
      <c r="M6" s="16">
        <f t="shared" si="5"/>
        <v>22680000</v>
      </c>
      <c r="N6" s="14">
        <f t="shared" si="6"/>
        <v>4410000</v>
      </c>
      <c r="O6" s="17">
        <f t="shared" si="7"/>
        <v>0.19444444444444445</v>
      </c>
      <c r="P6" s="29"/>
      <c r="Q6" t="s">
        <v>29</v>
      </c>
      <c r="R6" t="s">
        <v>23</v>
      </c>
    </row>
    <row r="7" spans="1:18">
      <c r="E7" s="26">
        <f>SUM(E4:E6)</f>
        <v>31680</v>
      </c>
      <c r="I7" s="26">
        <f>SUM(I4:I6)</f>
        <v>23760</v>
      </c>
      <c r="J7" s="24">
        <f>SUM(J4:J6)</f>
        <v>34452000</v>
      </c>
      <c r="M7" s="24">
        <f>SUM(M4:M6)</f>
        <v>43675000</v>
      </c>
      <c r="N7" s="24">
        <f>SUM(N4:N6)</f>
        <v>9223000</v>
      </c>
      <c r="O7" s="25">
        <f>N7/M7</f>
        <v>0.21117344018317116</v>
      </c>
      <c r="P7" s="32"/>
    </row>
    <row r="9" spans="1:18" ht="17.25">
      <c r="B9" s="27" t="s">
        <v>30</v>
      </c>
      <c r="O9" s="28"/>
      <c r="P9" s="28"/>
    </row>
    <row r="10" spans="1:18" ht="17.25" customHeight="1">
      <c r="B10" s="33" t="s">
        <v>0</v>
      </c>
      <c r="C10" s="37"/>
      <c r="D10" s="37"/>
      <c r="E10" s="37"/>
      <c r="F10" s="37" t="s">
        <v>1</v>
      </c>
      <c r="G10" s="37"/>
      <c r="H10" s="34"/>
      <c r="I10" s="37" t="s">
        <v>2</v>
      </c>
      <c r="J10" s="37"/>
      <c r="L10" s="35"/>
      <c r="M10" s="35"/>
      <c r="N10" s="36" t="s">
        <v>3</v>
      </c>
      <c r="O10" s="18"/>
      <c r="P10" s="18"/>
    </row>
    <row r="11" spans="1:18" ht="17.25" customHeight="1">
      <c r="B11" s="4" t="s">
        <v>4</v>
      </c>
      <c r="C11" s="5" t="s">
        <v>5</v>
      </c>
      <c r="D11" s="4" t="s">
        <v>19</v>
      </c>
      <c r="E11" s="4" t="s">
        <v>8</v>
      </c>
      <c r="F11" s="4" t="s">
        <v>9</v>
      </c>
      <c r="G11" s="6" t="s">
        <v>10</v>
      </c>
      <c r="H11" s="4" t="s">
        <v>11</v>
      </c>
      <c r="I11" s="4" t="s">
        <v>12</v>
      </c>
      <c r="J11" s="4" t="s">
        <v>12</v>
      </c>
      <c r="K11" s="7" t="s">
        <v>9</v>
      </c>
      <c r="L11" s="8" t="s">
        <v>13</v>
      </c>
      <c r="M11" s="8" t="s">
        <v>14</v>
      </c>
      <c r="N11" s="4" t="s">
        <v>15</v>
      </c>
      <c r="O11" s="9" t="s">
        <v>16</v>
      </c>
      <c r="P11" s="31"/>
    </row>
    <row r="12" spans="1:18">
      <c r="A12" t="s">
        <v>20</v>
      </c>
      <c r="B12" s="19" t="s">
        <v>31</v>
      </c>
      <c r="C12" s="20">
        <v>1</v>
      </c>
      <c r="D12" s="21">
        <v>70</v>
      </c>
      <c r="E12" s="10">
        <f>D12*C12</f>
        <v>70</v>
      </c>
      <c r="F12" s="11">
        <v>0.25</v>
      </c>
      <c r="G12" s="23">
        <v>1450</v>
      </c>
      <c r="H12" s="13">
        <f>I12/C12</f>
        <v>52.5</v>
      </c>
      <c r="I12" s="13">
        <f>D12*(1-F12)*C12</f>
        <v>52.5</v>
      </c>
      <c r="J12" s="14">
        <f>I12*G12</f>
        <v>76125</v>
      </c>
      <c r="K12" s="22">
        <v>0.55000000000000004</v>
      </c>
      <c r="L12" s="15">
        <f>ROUND(D12*3000,-3)</f>
        <v>210000</v>
      </c>
      <c r="M12" s="16">
        <f>ROUND(L12*(1-K12),-3)*C12</f>
        <v>95000</v>
      </c>
      <c r="N12" s="14">
        <f>M12-J12</f>
        <v>18875</v>
      </c>
      <c r="O12" s="17">
        <f>N12/M12</f>
        <v>0.1986842105263158</v>
      </c>
      <c r="P12" s="29"/>
      <c r="Q12" t="s">
        <v>32</v>
      </c>
      <c r="R12" t="s">
        <v>33</v>
      </c>
    </row>
    <row r="13" spans="1:18">
      <c r="A13" t="s">
        <v>24</v>
      </c>
      <c r="B13" s="19" t="s">
        <v>34</v>
      </c>
      <c r="C13" s="20">
        <v>16</v>
      </c>
      <c r="D13" s="21">
        <v>150</v>
      </c>
      <c r="E13" s="10">
        <f t="shared" ref="E13:E14" si="9">D13*C13</f>
        <v>2400</v>
      </c>
      <c r="F13" s="11">
        <v>0.25</v>
      </c>
      <c r="G13" s="12">
        <f>G12</f>
        <v>1450</v>
      </c>
      <c r="H13" s="13">
        <f t="shared" ref="H13:H14" si="10">I13/C13</f>
        <v>112.5</v>
      </c>
      <c r="I13" s="13">
        <f t="shared" ref="I13:I14" si="11">D13*(1-F13)*C13</f>
        <v>1800</v>
      </c>
      <c r="J13" s="14">
        <f t="shared" ref="J13:J14" si="12">I13*G13</f>
        <v>2610000</v>
      </c>
      <c r="K13" s="22">
        <v>0.52</v>
      </c>
      <c r="L13" s="15">
        <f t="shared" ref="L13:L14" si="13">ROUND(D13*3000,-3)</f>
        <v>450000</v>
      </c>
      <c r="M13" s="16">
        <f t="shared" ref="M13:M14" si="14">ROUND(L13*(1-K13),-3)*C13</f>
        <v>3456000</v>
      </c>
      <c r="N13" s="14">
        <f t="shared" ref="N13:N14" si="15">M13-J13</f>
        <v>846000</v>
      </c>
      <c r="O13" s="17">
        <f t="shared" ref="O13:O14" si="16">N13/M13</f>
        <v>0.24479166666666666</v>
      </c>
      <c r="P13" s="29"/>
      <c r="Q13" t="s">
        <v>35</v>
      </c>
      <c r="R13" t="s">
        <v>33</v>
      </c>
    </row>
    <row r="14" spans="1:18">
      <c r="A14" t="s">
        <v>27</v>
      </c>
      <c r="B14" s="19" t="s">
        <v>36</v>
      </c>
      <c r="C14" s="20">
        <v>1</v>
      </c>
      <c r="D14" s="21">
        <v>250</v>
      </c>
      <c r="E14" s="10">
        <f t="shared" si="9"/>
        <v>250</v>
      </c>
      <c r="F14" s="11">
        <v>0.25</v>
      </c>
      <c r="G14" s="12">
        <f t="shared" ref="G14" si="17">G13</f>
        <v>1450</v>
      </c>
      <c r="H14" s="13">
        <f t="shared" si="10"/>
        <v>187.5</v>
      </c>
      <c r="I14" s="13">
        <f t="shared" si="11"/>
        <v>187.5</v>
      </c>
      <c r="J14" s="14">
        <f t="shared" si="12"/>
        <v>271875</v>
      </c>
      <c r="K14" s="22">
        <v>0.55000000000000004</v>
      </c>
      <c r="L14" s="15">
        <f t="shared" si="13"/>
        <v>750000</v>
      </c>
      <c r="M14" s="16">
        <f t="shared" si="14"/>
        <v>338000</v>
      </c>
      <c r="N14" s="14">
        <f t="shared" si="15"/>
        <v>66125</v>
      </c>
      <c r="O14" s="17">
        <f t="shared" si="16"/>
        <v>0.19563609467455623</v>
      </c>
      <c r="P14" s="29"/>
      <c r="Q14" t="s">
        <v>37</v>
      </c>
      <c r="R14" t="s">
        <v>33</v>
      </c>
    </row>
    <row r="15" spans="1:18">
      <c r="E15" s="26">
        <f>SUM(E12:E14)</f>
        <v>2720</v>
      </c>
      <c r="I15" s="26">
        <f>SUM(I12:I14)</f>
        <v>2040</v>
      </c>
      <c r="J15" s="24">
        <f>SUM(J12:J14)</f>
        <v>2958000</v>
      </c>
      <c r="M15" s="24">
        <f>SUM(M12:M14)</f>
        <v>3889000</v>
      </c>
      <c r="N15" s="24">
        <f>SUM(N12:N14)</f>
        <v>931000</v>
      </c>
      <c r="O15" s="25">
        <f>N15/M15</f>
        <v>0.23939316019542298</v>
      </c>
      <c r="P15" s="32"/>
    </row>
    <row r="17" spans="1:18" ht="17.25">
      <c r="B17" s="27" t="s">
        <v>38</v>
      </c>
    </row>
    <row r="18" spans="1:18" ht="17.25" customHeight="1">
      <c r="B18" s="33" t="s">
        <v>0</v>
      </c>
      <c r="C18" s="37"/>
      <c r="D18" s="37"/>
      <c r="E18" s="37"/>
      <c r="F18" s="37" t="s">
        <v>1</v>
      </c>
      <c r="G18" s="37"/>
      <c r="H18" s="34"/>
      <c r="I18" s="37" t="s">
        <v>2</v>
      </c>
      <c r="J18" s="37"/>
      <c r="L18" s="35"/>
      <c r="M18" s="35"/>
      <c r="N18" s="36" t="s">
        <v>3</v>
      </c>
      <c r="O18" s="18"/>
      <c r="P18" s="18"/>
    </row>
    <row r="19" spans="1:18" ht="17.25" customHeight="1">
      <c r="B19" s="4" t="s">
        <v>4</v>
      </c>
      <c r="C19" s="5" t="s">
        <v>5</v>
      </c>
      <c r="D19" s="4" t="s">
        <v>19</v>
      </c>
      <c r="E19" s="4" t="s">
        <v>8</v>
      </c>
      <c r="F19" s="4" t="s">
        <v>9</v>
      </c>
      <c r="G19" s="6" t="s">
        <v>10</v>
      </c>
      <c r="H19" s="4" t="s">
        <v>11</v>
      </c>
      <c r="I19" s="4" t="s">
        <v>12</v>
      </c>
      <c r="J19" s="4" t="s">
        <v>12</v>
      </c>
      <c r="K19" s="7" t="s">
        <v>9</v>
      </c>
      <c r="L19" s="8" t="s">
        <v>13</v>
      </c>
      <c r="M19" s="8" t="s">
        <v>14</v>
      </c>
      <c r="N19" s="4" t="s">
        <v>15</v>
      </c>
      <c r="O19" s="9" t="s">
        <v>16</v>
      </c>
      <c r="P19" s="31"/>
    </row>
    <row r="20" spans="1:18">
      <c r="A20" t="s">
        <v>20</v>
      </c>
      <c r="B20" s="19" t="s">
        <v>39</v>
      </c>
      <c r="C20" s="20">
        <v>1</v>
      </c>
      <c r="D20" s="21">
        <v>189</v>
      </c>
      <c r="E20" s="10">
        <f>D20*C20</f>
        <v>189</v>
      </c>
      <c r="F20" s="11">
        <v>0.25</v>
      </c>
      <c r="G20" s="23">
        <v>1450</v>
      </c>
      <c r="H20" s="13">
        <f>I20/C20</f>
        <v>141.75</v>
      </c>
      <c r="I20" s="13">
        <f>D20*(1-F20)*C20</f>
        <v>141.75</v>
      </c>
      <c r="J20" s="14">
        <f>I20*G20</f>
        <v>205537.5</v>
      </c>
      <c r="K20" s="22">
        <v>0.55000000000000004</v>
      </c>
      <c r="L20" s="15">
        <f>ROUND(D20*3000,-3)</f>
        <v>567000</v>
      </c>
      <c r="M20" s="16">
        <f>ROUND(L20*(1-K20),-3)*C20</f>
        <v>255000</v>
      </c>
      <c r="N20" s="14">
        <f>M20-J20</f>
        <v>49462.5</v>
      </c>
      <c r="O20" s="17">
        <f>N20/M20</f>
        <v>0.19397058823529412</v>
      </c>
      <c r="P20" s="29"/>
      <c r="Q20" t="s">
        <v>40</v>
      </c>
      <c r="R20" t="s">
        <v>41</v>
      </c>
    </row>
    <row r="21" spans="1:18">
      <c r="A21" t="s">
        <v>24</v>
      </c>
      <c r="B21" s="19" t="s">
        <v>42</v>
      </c>
      <c r="C21" s="20">
        <v>16</v>
      </c>
      <c r="D21" s="21">
        <v>405</v>
      </c>
      <c r="E21" s="10">
        <f t="shared" ref="E21:E22" si="18">D21*C21</f>
        <v>6480</v>
      </c>
      <c r="F21" s="11">
        <v>0.25</v>
      </c>
      <c r="G21" s="12">
        <f>G20</f>
        <v>1450</v>
      </c>
      <c r="H21" s="13">
        <f t="shared" ref="H21:H22" si="19">I21/C21</f>
        <v>303.75</v>
      </c>
      <c r="I21" s="13">
        <f t="shared" ref="I21:I22" si="20">D21*(1-F21)*C21</f>
        <v>4860</v>
      </c>
      <c r="J21" s="14">
        <f t="shared" ref="J21:J22" si="21">I21*G21</f>
        <v>7047000</v>
      </c>
      <c r="K21" s="22">
        <v>0.52</v>
      </c>
      <c r="L21" s="15">
        <f t="shared" ref="L21:L22" si="22">ROUND(D21*3000,-3)</f>
        <v>1215000</v>
      </c>
      <c r="M21" s="16">
        <f t="shared" ref="M21:M22" si="23">ROUND(L21*(1-K21),-3)*C21</f>
        <v>9328000</v>
      </c>
      <c r="N21" s="14">
        <f t="shared" ref="N21:N22" si="24">M21-J21</f>
        <v>2281000</v>
      </c>
      <c r="O21" s="17">
        <f t="shared" ref="O21:O22" si="25">N21/M21</f>
        <v>0.24453259005145797</v>
      </c>
      <c r="P21" s="29"/>
      <c r="Q21" t="s">
        <v>43</v>
      </c>
      <c r="R21" t="s">
        <v>41</v>
      </c>
    </row>
    <row r="22" spans="1:18">
      <c r="A22" t="s">
        <v>27</v>
      </c>
      <c r="B22" s="19" t="s">
        <v>44</v>
      </c>
      <c r="C22" s="20">
        <v>1</v>
      </c>
      <c r="D22" s="21">
        <v>675</v>
      </c>
      <c r="E22" s="10">
        <f t="shared" si="18"/>
        <v>675</v>
      </c>
      <c r="F22" s="11">
        <v>0.25</v>
      </c>
      <c r="G22" s="12">
        <f t="shared" ref="G22" si="26">G21</f>
        <v>1450</v>
      </c>
      <c r="H22" s="13">
        <f t="shared" si="19"/>
        <v>506.25</v>
      </c>
      <c r="I22" s="13">
        <f t="shared" si="20"/>
        <v>506.25</v>
      </c>
      <c r="J22" s="14">
        <f t="shared" si="21"/>
        <v>734062.5</v>
      </c>
      <c r="K22" s="22">
        <v>0.55000000000000004</v>
      </c>
      <c r="L22" s="15">
        <f t="shared" si="22"/>
        <v>2025000</v>
      </c>
      <c r="M22" s="16">
        <f t="shared" si="23"/>
        <v>911000</v>
      </c>
      <c r="N22" s="14">
        <f t="shared" si="24"/>
        <v>176937.5</v>
      </c>
      <c r="O22" s="17">
        <f t="shared" si="25"/>
        <v>0.19422338090010977</v>
      </c>
      <c r="P22" s="29"/>
      <c r="Q22" t="s">
        <v>45</v>
      </c>
      <c r="R22" t="s">
        <v>41</v>
      </c>
    </row>
    <row r="23" spans="1:18">
      <c r="E23" s="26">
        <f>SUM(E20:E22)</f>
        <v>7344</v>
      </c>
      <c r="I23" s="26">
        <f>SUM(I20:I22)</f>
        <v>5508</v>
      </c>
      <c r="J23" s="24">
        <f>SUM(J20:J22)</f>
        <v>7986600</v>
      </c>
      <c r="M23" s="24">
        <f>SUM(M20:M22)</f>
        <v>10494000</v>
      </c>
      <c r="N23" s="24">
        <f>SUM(N20:N22)</f>
        <v>2507400</v>
      </c>
      <c r="O23" s="25">
        <f>N23/M23</f>
        <v>0.23893653516295027</v>
      </c>
      <c r="P23" s="32"/>
    </row>
    <row r="25" spans="1:18" ht="17.25">
      <c r="B25" s="27" t="s">
        <v>46</v>
      </c>
    </row>
    <row r="26" spans="1:18" ht="17.25" customHeight="1">
      <c r="B26" s="33" t="s">
        <v>0</v>
      </c>
      <c r="C26" s="37"/>
      <c r="D26" s="37"/>
      <c r="E26" s="37"/>
      <c r="F26" s="37" t="s">
        <v>1</v>
      </c>
      <c r="G26" s="37"/>
      <c r="H26" s="34"/>
      <c r="I26" s="37" t="s">
        <v>2</v>
      </c>
      <c r="J26" s="37"/>
      <c r="L26" s="35"/>
      <c r="M26" s="35"/>
      <c r="N26" s="36" t="s">
        <v>3</v>
      </c>
      <c r="O26" s="18"/>
      <c r="P26" s="18"/>
    </row>
    <row r="27" spans="1:18" ht="17.25" customHeight="1">
      <c r="B27" s="4" t="s">
        <v>4</v>
      </c>
      <c r="C27" s="5" t="s">
        <v>5</v>
      </c>
      <c r="D27" s="4" t="s">
        <v>19</v>
      </c>
      <c r="E27" s="4" t="s">
        <v>8</v>
      </c>
      <c r="F27" s="4" t="s">
        <v>9</v>
      </c>
      <c r="G27" s="6" t="s">
        <v>10</v>
      </c>
      <c r="H27" s="4" t="s">
        <v>11</v>
      </c>
      <c r="I27" s="4" t="s">
        <v>12</v>
      </c>
      <c r="J27" s="4" t="s">
        <v>12</v>
      </c>
      <c r="K27" s="7" t="s">
        <v>9</v>
      </c>
      <c r="L27" s="8" t="s">
        <v>13</v>
      </c>
      <c r="M27" s="8" t="s">
        <v>14</v>
      </c>
      <c r="N27" s="4" t="s">
        <v>15</v>
      </c>
      <c r="O27" s="9" t="s">
        <v>16</v>
      </c>
      <c r="P27" s="31"/>
    </row>
    <row r="28" spans="1:18">
      <c r="A28" t="s">
        <v>20</v>
      </c>
      <c r="B28" s="19" t="s">
        <v>47</v>
      </c>
      <c r="C28" s="20">
        <v>1</v>
      </c>
      <c r="D28" s="21">
        <v>490</v>
      </c>
      <c r="E28" s="10">
        <f>D28*C28</f>
        <v>490</v>
      </c>
      <c r="F28" s="11">
        <v>0.25</v>
      </c>
      <c r="G28" s="23">
        <v>1450</v>
      </c>
      <c r="H28" s="13">
        <f>I28/C28</f>
        <v>367.5</v>
      </c>
      <c r="I28" s="13">
        <f>D28*(1-F28)*C28</f>
        <v>367.5</v>
      </c>
      <c r="J28" s="14">
        <f>I28*G28</f>
        <v>532875</v>
      </c>
      <c r="K28" s="22">
        <v>0.55000000000000004</v>
      </c>
      <c r="L28" s="15">
        <f>ROUND(D28*3000,-3)</f>
        <v>1470000</v>
      </c>
      <c r="M28" s="16">
        <f>ROUND(L28*(1-K28),-3)*C28</f>
        <v>662000</v>
      </c>
      <c r="N28" s="14">
        <f>M28-J28</f>
        <v>129125</v>
      </c>
      <c r="O28" s="17">
        <f>N28/M28</f>
        <v>0.19505287009063443</v>
      </c>
      <c r="P28" s="29"/>
      <c r="Q28" t="s">
        <v>48</v>
      </c>
      <c r="R28" t="s">
        <v>49</v>
      </c>
    </row>
    <row r="29" spans="1:18">
      <c r="A29" t="s">
        <v>24</v>
      </c>
      <c r="B29" s="19" t="s">
        <v>50</v>
      </c>
      <c r="C29" s="20">
        <v>16</v>
      </c>
      <c r="D29" s="21">
        <v>1050</v>
      </c>
      <c r="E29" s="10">
        <f t="shared" ref="E29:E30" si="27">D29*C29</f>
        <v>16800</v>
      </c>
      <c r="F29" s="11">
        <v>0.25</v>
      </c>
      <c r="G29" s="12">
        <f>G28</f>
        <v>1450</v>
      </c>
      <c r="H29" s="13">
        <f t="shared" ref="H29:H30" si="28">I29/C29</f>
        <v>787.5</v>
      </c>
      <c r="I29" s="13">
        <f t="shared" ref="I29:I30" si="29">D29*(1-F29)*C29</f>
        <v>12600</v>
      </c>
      <c r="J29" s="14">
        <f t="shared" ref="J29:J30" si="30">I29*G29</f>
        <v>18270000</v>
      </c>
      <c r="K29" s="22">
        <v>0.52</v>
      </c>
      <c r="L29" s="15">
        <f t="shared" ref="L29:L30" si="31">ROUND(D29*3000,-3)</f>
        <v>3150000</v>
      </c>
      <c r="M29" s="16">
        <f t="shared" ref="M29:M30" si="32">ROUND(L29*(1-K29),-3)*C29</f>
        <v>24192000</v>
      </c>
      <c r="N29" s="14">
        <f t="shared" ref="N29:N30" si="33">M29-J29</f>
        <v>5922000</v>
      </c>
      <c r="O29" s="17">
        <f t="shared" ref="O29:O30" si="34">N29/M29</f>
        <v>0.24479166666666666</v>
      </c>
      <c r="P29" s="29"/>
      <c r="Q29" t="s">
        <v>51</v>
      </c>
      <c r="R29" t="s">
        <v>49</v>
      </c>
    </row>
    <row r="30" spans="1:18">
      <c r="A30" t="s">
        <v>27</v>
      </c>
      <c r="B30" s="19" t="s">
        <v>52</v>
      </c>
      <c r="C30" s="20">
        <v>1</v>
      </c>
      <c r="D30" s="21">
        <v>1750</v>
      </c>
      <c r="E30" s="10">
        <f t="shared" si="27"/>
        <v>1750</v>
      </c>
      <c r="F30" s="11">
        <v>0.25</v>
      </c>
      <c r="G30" s="12">
        <f t="shared" ref="G30" si="35">G29</f>
        <v>1450</v>
      </c>
      <c r="H30" s="13">
        <f t="shared" si="28"/>
        <v>1312.5</v>
      </c>
      <c r="I30" s="13">
        <f t="shared" si="29"/>
        <v>1312.5</v>
      </c>
      <c r="J30" s="14">
        <f t="shared" si="30"/>
        <v>1903125</v>
      </c>
      <c r="K30" s="22">
        <v>0.55000000000000004</v>
      </c>
      <c r="L30" s="15">
        <f t="shared" si="31"/>
        <v>5250000</v>
      </c>
      <c r="M30" s="16">
        <f t="shared" si="32"/>
        <v>2363000</v>
      </c>
      <c r="N30" s="14">
        <f t="shared" si="33"/>
        <v>459875</v>
      </c>
      <c r="O30" s="17">
        <f t="shared" si="34"/>
        <v>0.19461489631823953</v>
      </c>
      <c r="P30" s="29"/>
      <c r="Q30" t="s">
        <v>53</v>
      </c>
      <c r="R30" t="s">
        <v>49</v>
      </c>
    </row>
    <row r="31" spans="1:18">
      <c r="E31" s="26">
        <f>SUM(E28:E30)</f>
        <v>19040</v>
      </c>
      <c r="I31" s="26">
        <f>SUM(I28:I30)</f>
        <v>14280</v>
      </c>
      <c r="J31" s="24">
        <f>SUM(J28:J30)</f>
        <v>20706000</v>
      </c>
      <c r="M31" s="24">
        <f>SUM(M28:M30)</f>
        <v>27217000</v>
      </c>
      <c r="N31" s="24">
        <f>SUM(N28:N30)</f>
        <v>6511000</v>
      </c>
      <c r="O31" s="25">
        <f>N31/M31</f>
        <v>0.23922548407245472</v>
      </c>
      <c r="P31" s="32"/>
    </row>
    <row r="33" spans="1:18" ht="17.25">
      <c r="B33" s="27" t="s">
        <v>17</v>
      </c>
    </row>
    <row r="34" spans="1:18" ht="17.25" customHeight="1">
      <c r="B34" s="33" t="s">
        <v>0</v>
      </c>
      <c r="C34" s="37"/>
      <c r="D34" s="37"/>
      <c r="E34" s="37"/>
      <c r="F34" s="37" t="s">
        <v>1</v>
      </c>
      <c r="G34" s="37"/>
      <c r="H34" s="34"/>
      <c r="I34" s="37" t="s">
        <v>2</v>
      </c>
      <c r="J34" s="37"/>
      <c r="L34" s="35"/>
      <c r="M34" s="35"/>
      <c r="N34" s="36" t="s">
        <v>3</v>
      </c>
      <c r="O34" s="18"/>
      <c r="P34" s="18"/>
    </row>
    <row r="35" spans="1:18" ht="17.25" customHeight="1">
      <c r="B35" s="4" t="s">
        <v>4</v>
      </c>
      <c r="C35" s="5" t="s">
        <v>5</v>
      </c>
      <c r="D35" s="4" t="s">
        <v>19</v>
      </c>
      <c r="E35" s="4" t="s">
        <v>8</v>
      </c>
      <c r="F35" s="4" t="s">
        <v>9</v>
      </c>
      <c r="G35" s="6" t="s">
        <v>10</v>
      </c>
      <c r="H35" s="4" t="s">
        <v>11</v>
      </c>
      <c r="I35" s="4" t="s">
        <v>12</v>
      </c>
      <c r="J35" s="4" t="s">
        <v>12</v>
      </c>
      <c r="K35" s="7" t="s">
        <v>9</v>
      </c>
      <c r="L35" s="8" t="s">
        <v>13</v>
      </c>
      <c r="M35" s="8" t="s">
        <v>14</v>
      </c>
      <c r="N35" s="4" t="s">
        <v>15</v>
      </c>
      <c r="O35" s="9" t="s">
        <v>16</v>
      </c>
      <c r="P35" s="31"/>
    </row>
    <row r="36" spans="1:18">
      <c r="A36" t="s">
        <v>20</v>
      </c>
      <c r="B36" s="19" t="s">
        <v>54</v>
      </c>
      <c r="C36" s="20">
        <v>1</v>
      </c>
      <c r="D36" s="21">
        <v>294</v>
      </c>
      <c r="E36" s="10">
        <f>D36*C36</f>
        <v>294</v>
      </c>
      <c r="F36" s="11">
        <v>0.25</v>
      </c>
      <c r="G36" s="23">
        <v>1450</v>
      </c>
      <c r="H36" s="13">
        <f>I36/C36</f>
        <v>220.5</v>
      </c>
      <c r="I36" s="13">
        <f>D36*(1-F36)*C36</f>
        <v>220.5</v>
      </c>
      <c r="J36" s="14">
        <f>I36*G36</f>
        <v>319725</v>
      </c>
      <c r="K36" s="22">
        <v>0.55000000000000004</v>
      </c>
      <c r="L36" s="15">
        <f>ROUND(D36*3000,-3)</f>
        <v>882000</v>
      </c>
      <c r="M36" s="16">
        <f>ROUND(L36*(1-K36),-3)*C36</f>
        <v>397000</v>
      </c>
      <c r="N36" s="14">
        <f>M36-J36</f>
        <v>77275</v>
      </c>
      <c r="O36" s="17">
        <f>N36/M36</f>
        <v>0.19464735516372797</v>
      </c>
      <c r="P36" s="29"/>
      <c r="Q36" t="s">
        <v>55</v>
      </c>
      <c r="R36" t="s">
        <v>56</v>
      </c>
    </row>
    <row r="37" spans="1:18">
      <c r="A37" t="s">
        <v>24</v>
      </c>
      <c r="B37" s="19" t="s">
        <v>57</v>
      </c>
      <c r="C37" s="20">
        <v>16</v>
      </c>
      <c r="D37" s="21">
        <v>630</v>
      </c>
      <c r="E37" s="10">
        <f t="shared" ref="E37:E38" si="36">D37*C37</f>
        <v>10080</v>
      </c>
      <c r="F37" s="11">
        <v>0.25</v>
      </c>
      <c r="G37" s="12">
        <f>G36</f>
        <v>1450</v>
      </c>
      <c r="H37" s="13">
        <f t="shared" ref="H37:H38" si="37">I37/C37</f>
        <v>472.5</v>
      </c>
      <c r="I37" s="13">
        <f t="shared" ref="I37:I38" si="38">D37*(1-F37)*C37</f>
        <v>7560</v>
      </c>
      <c r="J37" s="14">
        <f t="shared" ref="J37:J38" si="39">I37*G37</f>
        <v>10962000</v>
      </c>
      <c r="K37" s="22">
        <v>0.52</v>
      </c>
      <c r="L37" s="15">
        <f t="shared" ref="L37:L38" si="40">ROUND(D37*3000,-3)</f>
        <v>1890000</v>
      </c>
      <c r="M37" s="16">
        <f t="shared" ref="M37:M38" si="41">ROUND(L37*(1-K37),-3)*C37</f>
        <v>14512000</v>
      </c>
      <c r="N37" s="14">
        <f t="shared" ref="N37:N38" si="42">M37-J37</f>
        <v>3550000</v>
      </c>
      <c r="O37" s="17">
        <f t="shared" ref="O37:O38" si="43">N37/M37</f>
        <v>0.24462513781697906</v>
      </c>
      <c r="P37" s="29"/>
      <c r="Q37" t="s">
        <v>58</v>
      </c>
      <c r="R37" t="s">
        <v>56</v>
      </c>
    </row>
    <row r="38" spans="1:18">
      <c r="A38" t="s">
        <v>27</v>
      </c>
      <c r="B38" s="19" t="s">
        <v>59</v>
      </c>
      <c r="C38" s="20">
        <v>1</v>
      </c>
      <c r="D38" s="21">
        <v>1050</v>
      </c>
      <c r="E38" s="10">
        <f t="shared" si="36"/>
        <v>1050</v>
      </c>
      <c r="F38" s="11">
        <v>0.25</v>
      </c>
      <c r="G38" s="12">
        <f t="shared" ref="G38" si="44">G37</f>
        <v>1450</v>
      </c>
      <c r="H38" s="13">
        <f t="shared" si="37"/>
        <v>787.5</v>
      </c>
      <c r="I38" s="13">
        <f t="shared" si="38"/>
        <v>787.5</v>
      </c>
      <c r="J38" s="14">
        <f t="shared" si="39"/>
        <v>1141875</v>
      </c>
      <c r="K38" s="22">
        <v>0.55000000000000004</v>
      </c>
      <c r="L38" s="15">
        <f t="shared" si="40"/>
        <v>3150000</v>
      </c>
      <c r="M38" s="16">
        <f t="shared" si="41"/>
        <v>1418000</v>
      </c>
      <c r="N38" s="14">
        <f t="shared" si="42"/>
        <v>276125</v>
      </c>
      <c r="O38" s="17">
        <f t="shared" si="43"/>
        <v>0.19472849083215796</v>
      </c>
      <c r="P38" s="29"/>
      <c r="Q38" t="s">
        <v>60</v>
      </c>
      <c r="R38" t="s">
        <v>56</v>
      </c>
    </row>
    <row r="39" spans="1:18">
      <c r="E39" s="26">
        <f>SUM(E36:E38)</f>
        <v>11424</v>
      </c>
      <c r="I39" s="26">
        <f>SUM(I36:I38)</f>
        <v>8568</v>
      </c>
      <c r="J39" s="24">
        <f>SUM(J36:J38)</f>
        <v>12423600</v>
      </c>
      <c r="M39" s="24">
        <f>SUM(M36:M38)</f>
        <v>16327000</v>
      </c>
      <c r="N39" s="24">
        <f>SUM(N36:N38)</f>
        <v>3903400</v>
      </c>
      <c r="O39" s="25">
        <f>N39/M39</f>
        <v>0.23907637655417407</v>
      </c>
      <c r="P39" s="32"/>
    </row>
    <row r="40" spans="1:18">
      <c r="D40"/>
      <c r="L40"/>
    </row>
    <row r="43" spans="1:18">
      <c r="L43" s="3">
        <f>L37/3</f>
        <v>630000</v>
      </c>
    </row>
  </sheetData>
  <mergeCells count="15">
    <mergeCell ref="C2:E2"/>
    <mergeCell ref="F2:G2"/>
    <mergeCell ref="I2:J2"/>
    <mergeCell ref="C10:E10"/>
    <mergeCell ref="F10:G10"/>
    <mergeCell ref="I10:J10"/>
    <mergeCell ref="C34:E34"/>
    <mergeCell ref="F34:G34"/>
    <mergeCell ref="I34:J34"/>
    <mergeCell ref="C18:E18"/>
    <mergeCell ref="F18:G18"/>
    <mergeCell ref="I18:J18"/>
    <mergeCell ref="C26:E26"/>
    <mergeCell ref="F26:G26"/>
    <mergeCell ref="I26:J26"/>
  </mergeCells>
  <phoneticPr fontId="14" type="noConversion"/>
  <pageMargins left="0.15748031496062992" right="0.15748031496062992" top="0.74803149606299213" bottom="0.74803149606299213" header="0.31496062992125984" footer="0.31496062992125984"/>
  <pageSetup paperSize="9"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vt:i4>
      </vt:variant>
    </vt:vector>
  </HeadingPairs>
  <TitlesOfParts>
    <vt:vector size="2" baseType="lpstr">
      <vt:lpstr>241108_Q1 SKU</vt:lpstr>
      <vt:lpstr>기존 Q2 가격표</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SOON</dc:creator>
  <cp:keywords/>
  <dc:description/>
  <cp:lastModifiedBy>신동한</cp:lastModifiedBy>
  <cp:revision/>
  <dcterms:created xsi:type="dcterms:W3CDTF">2009-08-05T07:26:55Z</dcterms:created>
  <dcterms:modified xsi:type="dcterms:W3CDTF">2026-06-10T07:28:19Z</dcterms:modified>
  <cp:category/>
  <cp:contentStatus/>
</cp:coreProperties>
</file>